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a9046440dd7b48fd" /></Relationships>
</file>

<file path=xl/workbook.xml><?xml version="1.0" encoding="utf-8"?>
<x:workbook xmlns:x="http://schemas.openxmlformats.org/spreadsheetml/2006/main">
  <x:sheets>
    <x:sheet xmlns:r="http://schemas.openxmlformats.org/officeDocument/2006/relationships" name="README" sheetId="1" r:id="R5afa54d9f2464b08"/>
    <x:sheet xmlns:r="http://schemas.openxmlformats.org/officeDocument/2006/relationships" name="Gap Register" sheetId="2" r:id="R29f783b21b9c4d31"/>
    <x:sheet xmlns:r="http://schemas.openxmlformats.org/officeDocument/2006/relationships" name="Candidate Artifacts" sheetId="3" r:id="Ra103345a2f964da3"/>
    <x:sheet xmlns:r="http://schemas.openxmlformats.org/officeDocument/2006/relationships" name="AI Labs Questions" sheetId="4" r:id="R09d90559276d4520"/>
    <x:sheet xmlns:r="http://schemas.openxmlformats.org/officeDocument/2006/relationships" name="Evidence Log" sheetId="5" r:id="R39ddaba5fe0d4949"/>
    <x:sheet xmlns:r="http://schemas.openxmlformats.org/officeDocument/2006/relationships" name="Technical Focus" sheetId="6" r:id="R800889be651b463e"/>
    <x:sheet xmlns:r="http://schemas.openxmlformats.org/officeDocument/2006/relationships" name="Source Index" sheetId="7" r:id="R13eea9fdede4467e"/>
    <x:sheet xmlns:r="http://schemas.openxmlformats.org/officeDocument/2006/relationships" name="Dashboard" sheetId="8" r:id="R68b24ae970ff4a73"/>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b/>
      <x:sz val="11"/>
      <x:name val="Carlito"/>
    </x:font>
    <x:font>
      <x:b/>
      <x:sz val="11"/>
      <x:color rgb="FFFFFFFF"/>
      <x:name val="Carlito"/>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2F75B5"/>
      </x:patternFill>
    </x:fill>
    <x:fill>
      <x:patternFill patternType="solid">
        <x:fgColor rgb="FFF3F6F9"/>
      </x:patternFill>
    </x:fill>
  </x:fills>
  <x:borders count="2">
    <x:border/>
    <x:border/>
  </x:borders>
  <x:cellStyleXfs count="1">
    <x:xf numFmtId="0" fontId="0" fillId="0" borderId="0"/>
  </x:cellStyleXfs>
  <x:cellXfs count="3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top"/>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2" fillId="5" borderId="0" xfId="0" applyNumberFormat="1" applyFont="1" applyFill="1" applyBorder="1"/>
    <x:xf numFmtId="0" fontId="0" fillId="5" borderId="1" xfId="0" applyNumberFormat="1" applyFont="1" applyFill="1" applyBorder="1"/>
    <x:xf numFmtId="0" fontId="2" fillId="5" borderId="1" xfId="0" applyNumberFormat="1" applyFont="1" applyFill="1" applyBorder="1"/>
    <x:xf numFmtId="0" fontId="0" fillId="0" borderId="0" xfId="0" applyNumberFormat="1" applyFont="1" applyFill="1" applyBorder="1"/>
  </x:cellXfs>
  <x:cellStyles count="1">
    <x:cellStyle name="Normal" xfId="0"/>
  </x:cellStyles>
  <x:dxfs count="4">
    <x:dxf>
      <x:font>
        <x:b/>
      </x:font>
      <x:fill>
        <x:patternFill>
          <x:bgColor rgb="FFF4CCCC"/>
        </x:patternFill>
      </x:fill>
    </x:dxf>
    <x:dxf>
      <x:fill>
        <x:patternFill>
          <x:bgColor rgb="FFFCE5CD"/>
        </x:patternFill>
      </x:fill>
    </x:dxf>
    <x:dxf>
      <x:fill>
        <x:patternFill>
          <x:bgColor rgb="FFD9EAD3"/>
        </x:patternFill>
      </x:fill>
    </x:dxf>
    <x:dxf>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3a62460b1474e10" /><Relationship Type="http://schemas.openxmlformats.org/officeDocument/2006/relationships/theme" Target="/xl/theme/theme1.xml" Id="R270fa8dc1d9f4027" /><Relationship Type="http://schemas.openxmlformats.org/officeDocument/2006/relationships/sharedStrings" Target="/xl/sharedStrings.xml" Id="Rbaf3206815374ec4" /><Relationship Type="http://schemas.openxmlformats.org/officeDocument/2006/relationships/worksheet" Target="/xl/worksheets/sheet1.xml" Id="R5afa54d9f2464b08" /><Relationship Type="http://schemas.openxmlformats.org/officeDocument/2006/relationships/worksheet" Target="/xl/worksheets/sheet2.xml" Id="R29f783b21b9c4d31" /><Relationship Type="http://schemas.openxmlformats.org/officeDocument/2006/relationships/worksheet" Target="/xl/worksheets/sheet3.xml" Id="Ra103345a2f964da3" /><Relationship Type="http://schemas.openxmlformats.org/officeDocument/2006/relationships/worksheet" Target="/xl/worksheets/sheet4.xml" Id="R09d90559276d4520" /><Relationship Type="http://schemas.openxmlformats.org/officeDocument/2006/relationships/worksheet" Target="/xl/worksheets/sheet5.xml" Id="R39ddaba5fe0d4949" /><Relationship Type="http://schemas.openxmlformats.org/officeDocument/2006/relationships/worksheet" Target="/xl/worksheets/sheet6.xml" Id="R800889be651b463e" /><Relationship Type="http://schemas.openxmlformats.org/officeDocument/2006/relationships/worksheet" Target="/xl/worksheets/sheet7.xml" Id="R13eea9fdede4467e" /><Relationship Type="http://schemas.openxmlformats.org/officeDocument/2006/relationships/worksheet" Target="/xl/worksheets/sheet8.xml" Id="R68b24ae970ff4a73" /></Relationships>
</file>

<file path=xl/drawings/_rels/drawing1.xml.rels>&#65279;<?xml version="1.0" encoding="utf-8"?><Relationships xmlns="http://schemas.openxmlformats.org/package/2006/relationships"><Relationship Type="http://schemas.openxmlformats.org/officeDocument/2006/relationships/chart" Target="/xl/drawings/charts/chart1.xml" Id="Rc08606635da4469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Activities by ABC</a:t>
            </a:r>
          </a:p>
        </c:rich>
      </c:tx>
    </c:title>
    <c:plotArea>
      <c:barChart>
        <c:barDir val="col"/>
        <c:grouping val="clustered"/>
        <c:varyColors val="0"/>
        <c:ser>
          <c:idx val="0"/>
          <c:order val="0"/>
          <c:tx>
            <c:v>Count</c:v>
          </c:tx>
          <c:cat>
            <c:strRef>
              <c:f>'Dashboard'!$D$4:$D$6</c:f>
              <c:strCache>
                <c:ptCount val="0"/>
              </c:strCache>
            </c:strRef>
          </c:cat>
          <c:val>
            <c:numRef>
              <c:f>'Dashboard'!$E$4:$E$6</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7</xdr:row>
      <xdr:rowOff>0</xdr:rowOff>
    </xdr:from>
    <xdr:to>
      <xdr:col>10</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08606635da44699"/>
        </a:graphicData>
      </a:graphic>
    </xdr:graphicFrame>
    <xdr:clientData/>
  </xdr:twoCellAnchor>
</xdr:wsDr>
</file>

<file path=xl/tables/table1.xml><?xml version="1.0" encoding="utf-8"?>
<x:table xmlns:x="http://schemas.openxmlformats.org/spreadsheetml/2006/main" id="1" name="GapRegisterTable" displayName="GapRegisterTable" ref="A1:O45" headerRowCount="1" totalsRowCount="0" totalsRowShown="0">
  <x:tableColumns count="15">
    <x:tableColumn id="1" name="ID"/>
    <x:tableColumn id="2" name="ABC"/>
    <x:tableColumn id="3" name="Activity"/>
    <x:tableColumn id="4" name="Explicitly Defined"/>
    <x:tableColumn id="5" name="Documented Detail"/>
    <x:tableColumn id="6" name="Gap / Not Found"/>
    <x:tableColumn id="7" name="Brazil Proposal (PROPOSED)"/>
    <x:tableColumn id="8" name="Question / Validation with AI Labs"/>
    <x:tableColumn id="9" name="Priority"/>
    <x:tableColumn id="10" name="Workstream"/>
    <x:tableColumn id="11" name="Status"/>
    <x:tableColumn id="12" name="Confirmed Owner"/>
    <x:tableColumn id="13" name="Evidence / Source"/>
    <x:tableColumn id="14" name="Evidence Classification"/>
    <x:tableColumn id="15" name="Notes / Latest Update"/>
  </x:tableColumns>
  <x:tableStyleInfo name="TableStyleMedium2" showFirstColumn="0" showLastColumn="0" showRowStripes="1" showColumnStripes="0"/>
</x:table>
</file>

<file path=xl/tables/table2.xml><?xml version="1.0" encoding="utf-8"?>
<x:table xmlns:x="http://schemas.openxmlformats.org/spreadsheetml/2006/main" id="2" name="CandidateArtifactsTable" displayName="CandidateArtifactsTable" ref="A1:I21" headerRowCount="1" totalsRowCount="0" totalsRowShown="0">
  <x:tableColumns count="9">
    <x:tableColumn id="1" name="#"/>
    <x:tableColumn id="2" name="Candidate Artifact"/>
    <x:tableColumn id="3" name="Related Gap IDs"/>
    <x:tableColumn id="4" name="Classification"/>
    <x:tableColumn id="5" name="Guardrail"/>
    <x:tableColumn id="6" name="Priority"/>
    <x:tableColumn id="7" name="Status"/>
    <x:tableColumn id="8" name="AI Labs Existing Asset?"/>
    <x:tableColumn id="9" name="Decision / Notes"/>
  </x:tableColumns>
  <x:tableStyleInfo name="TableStyleMedium2" showFirstColumn="0" showLastColumn="0" showRowStripes="1" showColumnStripes="0"/>
</x:table>
</file>

<file path=xl/tables/table3.xml><?xml version="1.0" encoding="utf-8"?>
<x:table xmlns:x="http://schemas.openxmlformats.org/spreadsheetml/2006/main" id="3" name="AILabsQuestionsTable" displayName="AILabsQuestionsTable" ref="A1:H19" headerRowCount="1" totalsRowCount="0" totalsRowShown="0">
  <x:tableColumns count="8">
    <x:tableColumn id="1" name="#"/>
    <x:tableColumn id="2" name="Theme"/>
    <x:tableColumn id="3" name="Question"/>
    <x:tableColumn id="4" name="Priority"/>
    <x:tableColumn id="5" name="Status"/>
    <x:tableColumn id="6" name="Answer / Evidence"/>
    <x:tableColumn id="7" name="Source / Date"/>
    <x:tableColumn id="8" name="Follow-up / Decision"/>
  </x:tableColumns>
  <x:tableStyleInfo name="TableStyleMedium2" showFirstColumn="0" showLastColumn="0" showRowStripes="1" showColumnStripes="0"/>
</x:table>
</file>

<file path=xl/tables/table4.xml><?xml version="1.0" encoding="utf-8"?>
<x:table xmlns:x="http://schemas.openxmlformats.org/spreadsheetml/2006/main" id="4" name="EvidenceLogTable" displayName="EvidenceLogTable" ref="A1:H6" headerRowCount="1" totalsRowCount="0" totalsRowShown="0">
  <x:tableColumns count="8">
    <x:tableColumn id="1" name="Date"/>
    <x:tableColumn id="2" name="Source / Person"/>
    <x:tableColumn id="3" name="Evidence Type"/>
    <x:tableColumn id="4" name="Statement / Evidence"/>
    <x:tableColumn id="5" name="Implication"/>
    <x:tableColumn id="6" name="Authority / Confidence"/>
    <x:tableColumn id="7" name="Action"/>
    <x:tableColumn id="8" name="Status"/>
  </x:tableColumns>
  <x:tableStyleInfo name="TableStyleMedium2" showFirstColumn="0" showLastColumn="0" showRowStripes="1" showColumnStripes="0"/>
</x:table>
</file>

<file path=xl/tables/table5.xml><?xml version="1.0" encoding="utf-8"?>
<x:table xmlns:x="http://schemas.openxmlformats.org/spreadsheetml/2006/main" id="5" name="TechnicalFocusTable" displayName="TechnicalFocusTable" ref="A1:G25" headerRowCount="1" totalsRowCount="0" totalsRowShown="0">
  <x:tableColumns count="7">
    <x:tableColumn id="1" name="ID"/>
    <x:tableColumn id="2" name="ABC"/>
    <x:tableColumn id="3" name="Activity"/>
    <x:tableColumn id="4" name="Why it matters technically"/>
    <x:tableColumn id="5" name="Current state"/>
    <x:tableColumn id="6" name="Immediate safe action"/>
    <x:tableColumn id="7" name="Dependency / Validation"/>
  </x:tableColumns>
  <x:tableStyleInfo name="TableStyleMedium2" showFirstColumn="0" showLastColumn="0" showRowStripes="1" showColumnStripes="0"/>
</x:table>
</file>

<file path=xl/tables/table6.xml><?xml version="1.0" encoding="utf-8"?>
<x:table xmlns:x="http://schemas.openxmlformats.org/spreadsheetml/2006/main" id="6" name="SourceIndexTable" displayName="SourceIndexTable" ref="A1:E6" headerRowCount="1" totalsRowCount="0" totalsRowShown="0">
  <x:tableColumns count="5">
    <x:tableColumn id="1" name="ID"/>
    <x:tableColumn id="2" name="Source"/>
    <x:tableColumn id="3" name="Type"/>
    <x:tableColumn id="4" name="Use"/>
    <x:tableColumn id="5" name="Authority / Cave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38c1a25c5c24649" /></Relationships>
</file>

<file path=xl/worksheets/_rels/sheet3.xml.rels>&#65279;<?xml version="1.0" encoding="utf-8"?><Relationships xmlns="http://schemas.openxmlformats.org/package/2006/relationships"><Relationship Type="http://schemas.openxmlformats.org/officeDocument/2006/relationships/table" Target="/xl/tables/table2.xml" Id="Rb094e2a2e5df4a4e" /></Relationships>
</file>

<file path=xl/worksheets/_rels/sheet4.xml.rels>&#65279;<?xml version="1.0" encoding="utf-8"?><Relationships xmlns="http://schemas.openxmlformats.org/package/2006/relationships"><Relationship Type="http://schemas.openxmlformats.org/officeDocument/2006/relationships/table" Target="/xl/tables/table3.xml" Id="R22607a738db64c54" /></Relationships>
</file>

<file path=xl/worksheets/_rels/sheet5.xml.rels>&#65279;<?xml version="1.0" encoding="utf-8"?><Relationships xmlns="http://schemas.openxmlformats.org/package/2006/relationships"><Relationship Type="http://schemas.openxmlformats.org/officeDocument/2006/relationships/table" Target="/xl/tables/table4.xml" Id="R20ea29dcdbfc4c91" /></Relationships>
</file>

<file path=xl/worksheets/_rels/sheet6.xml.rels>&#65279;<?xml version="1.0" encoding="utf-8"?><Relationships xmlns="http://schemas.openxmlformats.org/package/2006/relationships"><Relationship Type="http://schemas.openxmlformats.org/officeDocument/2006/relationships/table" Target="/xl/tables/table5.xml" Id="R6d0adc07af2a4d1e" /></Relationships>
</file>

<file path=xl/worksheets/_rels/sheet7.xml.rels>&#65279;<?xml version="1.0" encoding="utf-8"?><Relationships xmlns="http://schemas.openxmlformats.org/package/2006/relationships"><Relationship Type="http://schemas.openxmlformats.org/officeDocument/2006/relationships/table" Target="/xl/tables/table6.xml" Id="R7eb80b0e3f154091" /></Relationships>
</file>

<file path=xl/worksheets/_rels/sheet8.xml.rels>&#65279;<?xml version="1.0" encoding="utf-8"?><Relationships xmlns="http://schemas.openxmlformats.org/package/2006/relationships"><Relationship Type="http://schemas.openxmlformats.org/officeDocument/2006/relationships/drawing" Target="/xl/drawings/drawing1.xml" Id="Rc3d7e7087b4d4472" /></Relationships>
</file>

<file path=xl/worksheets/sheet1.xml><?xml version="1.0" encoding="utf-8"?>
<x:worksheet xmlns:x="http://schemas.openxmlformats.org/spreadsheetml/2006/main">
  <x:sheetFormatPr defaultRowHeight="15"/>
  <x:cols>
    <x:col min="1" max="1" width="25" hidden="0" customWidth="1"/>
    <x:col min="2" max="2" width="95" hidden="0" customWidth="1"/>
  </x:cols>
  <x:sheetData>
    <x:row r="1" ht="30" customHeight="1">
      <x:c r="A1" s="4" t="str">
        <x:v>AgilityAI Brazil — Phase 1 Gap Register</x:v>
      </x:c>
      <x:c r="B1" s="4"/>
      <x:c r="C1" s="4"/>
      <x:c r="D1" s="4"/>
      <x:c r="E1" s="4"/>
      <x:c r="F1" s="4"/>
      <x:c r="G1" s="4"/>
      <x:c r="H1" s="4"/>
    </x:row>
    <x:row r="3">
      <x:c r="A3" s="10" t="str">
        <x:v>Purpose</x:v>
      </x:c>
      <x:c r="B3" s="14" t="str">
        <x:v>Operational control workbook for Phase 1 — Framework Alignment. It converts the initial assessment into a traceable register of what is defined, what is not found in the current knowledge base, what may be proposed by Brazil, and what requires validation with AI Labs.</x:v>
      </x:c>
    </x:row>
    <x:row r="4">
      <x:c r="A4" s="10" t="str">
        <x:v>Important epistemic rule</x:v>
      </x:c>
      <x:c r="B4" s="14" t="str">
        <x:v>“Gap” means NOT FOUND / NOT SUFFICIENTLY DEFINED in the current material. It does NOT mean the asset does not exist in Marlabs or AI Labs.</x:v>
      </x:c>
    </x:row>
    <x:row r="5">
      <x:c r="A5" s="10" t="str">
        <x:v>Current phase evidence</x:v>
      </x:c>
      <x:c r="B5" s="14" t="str">
        <x:v>The Project Charter defines Phase 1 as framework review, process-asset assessment, gap identification, missing-artifact definition/construction, alignment with Brian/AI Labs, and completion of the Brazil implementation roadmap.</x:v>
      </x:c>
    </x:row>
    <x:row r="6">
      <x:c r="A6" s="10" t="str">
        <x:v>Current working direction</x:v>
      </x:c>
      <x:c r="B6" s="14" t="str">
        <x:v>Célia indicated Phase 1 will evolve through iterations with Brian and that conceptual/technical framework work can proceed in parallel.</x:v>
      </x:c>
    </x:row>
    <x:row r="7">
      <x:c r="A7" s="10" t="str">
        <x:v>New technical evidence</x:v>
      </x:c>
      <x:c r="B7" s="14" t="str">
        <x:v>Matheus reported that Brian indicated access to LLM models/development environment is possible via Padmesh; he also reported that the framework should be replicable across AWS, Azure and Google, with an initial test using Azure Foundry. These are team-reported statements and should be operationally confirmed.</x:v>
      </x:c>
    </x:row>
    <x:row r="8">
      <x:c r="A8" s="10" t="str">
        <x:v>Brian outreach</x:v>
      </x:c>
      <x:c r="B8" s="14" t="str">
        <x:v>A message has already been sent to Brian asking what implementation guides, playbooks, templates, reference architectures, prioritization models, evaluation approaches, governance standards and accelerator documentation already exist, and which ABC areas are mature versus still being refined.</x:v>
      </x:c>
    </x:row>
    <x:row r="9">
      <x:c r="A9" s="10" t="str">
        <x:v>Recommended use</x:v>
      </x:c>
      <x:c r="B9" s="14" t="str">
        <x:v>Update this workbook after each AI Labs interaction. Do not build a candidate artifact until the row is classified as BRAZIL TO PROPOSE or BRAZIL TO BUILD, unless the team explicitly decides otherwise.</x:v>
      </x:c>
    </x:row>
    <x:row r="10">
      <x:c r="A10" s="10" t="str">
        <x:v>Status vocabulary</x:v>
      </x:c>
      <x:c r="B10" s="14" t="str">
        <x:v>DEFINED | PARTIAL | NOT FOUND | TO VALIDATE WITH AI LABS | BRAZIL TO PROPOSE | BRAZIL TO BUILD | VALIDATED</x:v>
      </x:c>
    </x:row>
    <x:row r="11">
      <x:c r="A11" s="10" t="str">
        <x:v>Priority vocabulary</x:v>
      </x:c>
      <x:c r="B11" s="14" t="str">
        <x:v>Critical = likely blocker/high-value clarification; High = important technical/methodological dependency; Medium = relevant but not immediate blocker.</x:v>
      </x:c>
    </x:row>
    <x:row r="12">
      <x:c r="A12" s="10" t="str">
        <x:v>Version</x:v>
      </x:c>
      <x:c r="B12" s="14" t="str">
        <x:v>Initial operational register — 2026-08-13</x:v>
      </x:c>
    </x:row>
    <x:row r="13">
      <x:c r="A13" s="14" t="str">
        <x:v>2026-08-14 update</x:v>
      </x:c>
      <x:c r="B13" s="14" t="str">
        <x:v>Brian confirmed existing implementation material, initial Discovery Workshop/Align material, and a more mature Build area with tools/accelerators. Accordingly, TO VALIDATE WITH AI LABS remains the correct working status; absence in the current Brazil knowledge base must not be read as non-existence.</x:v>
      </x:c>
      <x:c r="C13" s="14"/>
      <x:c r="D13" s="14"/>
      <x:c r="E13" s="14"/>
      <x:c r="F13" s="14"/>
      <x:c r="G13" s="14"/>
      <x:c r="H13" s="14"/>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10" hidden="0" customWidth="1"/>
    <x:col min="3" max="3" width="28" hidden="0" customWidth="1"/>
    <x:col min="4" max="4" width="45" hidden="0" customWidth="1"/>
    <x:col min="5" max="5" width="45" hidden="0" customWidth="1"/>
    <x:col min="6" max="6" width="48" hidden="0" customWidth="1"/>
    <x:col min="7" max="7" width="48" hidden="0" customWidth="1"/>
    <x:col min="8" max="8" width="48" hidden="0" customWidth="1"/>
    <x:col min="9" max="9" width="12" hidden="0" customWidth="1"/>
    <x:col min="10" max="10" width="20" hidden="0" customWidth="1"/>
    <x:col min="11" max="11" width="25" hidden="0" customWidth="1"/>
    <x:col min="12" max="12" width="20" hidden="0" customWidth="1"/>
    <x:col min="13" max="13" width="36" hidden="0" customWidth="1"/>
    <x:col min="14" max="14" width="28" hidden="0" customWidth="1"/>
    <x:col min="15" max="15" width="42" hidden="0" customWidth="1"/>
  </x:cols>
  <x:sheetData>
    <x:row r="1">
      <x:c r="A1" s="18" t="str">
        <x:v>ID</x:v>
      </x:c>
      <x:c r="B1" s="18" t="str">
        <x:v>ABC</x:v>
      </x:c>
      <x:c r="C1" s="18" t="str">
        <x:v>Activity</x:v>
      </x:c>
      <x:c r="D1" s="18" t="str">
        <x:v>Explicitly Defined</x:v>
      </x:c>
      <x:c r="E1" s="18" t="str">
        <x:v>Documented Detail</x:v>
      </x:c>
      <x:c r="F1" s="18" t="str">
        <x:v>Gap / Not Found</x:v>
      </x:c>
      <x:c r="G1" s="18" t="str">
        <x:v>Brazil Proposal (PROPOSED)</x:v>
      </x:c>
      <x:c r="H1" s="18" t="str">
        <x:v>Question / Validation with AI Labs</x:v>
      </x:c>
      <x:c r="I1" s="18" t="str">
        <x:v>Priority</x:v>
      </x:c>
      <x:c r="J1" s="18" t="str">
        <x:v>Workstream</x:v>
      </x:c>
      <x:c r="K1" s="18" t="str">
        <x:v>Status</x:v>
      </x:c>
      <x:c r="L1" s="18" t="str">
        <x:v>Confirmed Owner</x:v>
      </x:c>
      <x:c r="M1" s="18" t="str">
        <x:v>Evidence / Source</x:v>
      </x:c>
      <x:c r="N1" s="18" t="str">
        <x:v>Evidence Classification</x:v>
      </x:c>
      <x:c r="O1" s="18" t="str">
        <x:v>Notes / Latest Update</x:v>
      </x:c>
    </x:row>
    <x:row r="2" ht="72" customHeight="1">
      <x:c r="A2" s="14" t="str">
        <x:v>A1</x:v>
      </x:c>
      <x:c r="B2" s="14" t="str">
        <x:v>Align</x:v>
      </x:c>
      <x:c r="C2" s="14" t="str">
        <x:v>AI maturity assessment</x:v>
      </x:c>
      <x:c r="D2" s="14" t="str">
        <x:v>aparece em Discover &amp; Assess como uma das primeiras atividades da Strategic Roadmap. A apresentação também fornece uma “Evolutionary Staircase” com quatro estágios: Explore, Enable, Scale e Transform. Os estágios consideram mode, scope, autonomy, integration, governance, typical use cases e timeline.</x:v>
      </x:c>
      <x:c r="E2" s="14" t="str">
        <x:v>há um modelo conceitual que pode servir como referência de classificação. Exemplos incluem Chat &amp; copilots no Stage 1, Task agents no Stage 2, Workflow agents no Stage 3 e Enterprise digital workforce no Stage 4. Não há instrumento de assessment, questionário, scoring, pesos ou regra formal para determinar o estágio de uma organização.</x:v>
      </x:c>
      <x:c r="F2" s="14" t="str">
        <x:v>método de maturity assessment; evidências necessárias; dimensões avaliadas formalmente; scoring; critérios para enquadramento nos estágios; template de assessment; formato do resultado.</x:v>
      </x:c>
      <x:c r="G2" s="14" t="str">
        <x:v>criar um PROPOSED — AI Maturity Assessment, inicialmente usando as dimensões já presentes na Staircase e acrescentando apenas como proposta dimensões necessárias à execução, como strategy, data, process, technology, people e governance. O resultado deveria registrar evidência e gaps, evitando um score sem rastreabilidade.</x:v>
      </x:c>
      <x:c r="H2" s="14" t="str">
        <x:v>existe assessment oficial? A Staircase é apenas positioning ou é parte efetiva da metodologia? Há dimensões, perguntas, scoring e thresholds já utilizados pelo AI Labs?</x:v>
      </x:c>
      <x:c r="I2" s="14" t="str">
        <x:v>Medium</x:v>
      </x:c>
      <x:c r="J2" s="14" t="str">
        <x:v>Business/Methodology</x:v>
      </x:c>
      <x:c r="K2" s="14" t="str">
        <x:v>TO VALIDATE WITH AI LABS</x:v>
      </x:c>
      <x:c r="L2" s="14" t="str"/>
      <x:c r="M2" s="14" t="str">
        <x:v>AgilityAI - ABCs 2.pdf; Phase 1 Gap Assessment</x:v>
      </x:c>
      <x:c r="N2" s="14" t="str">
        <x:v>AI Labs material reported; exact activity coverage pending receipt/review</x:v>
      </x:c>
      <x:c r="O2" s="14" t="str">
        <x:v>2026-08-14: Brian directly confirmed that AI Labs has initial Discovery Workshop and Align material and that implementation material exists, but is still being developed and overall is very immature. Exact coverage of this activity is not yet known; keep TO VALIDATE WITH AI LABS until assets are received/reviewed.</x:v>
      </x:c>
    </x:row>
    <x:row r="3" ht="72" customHeight="1">
      <x:c r="A3" s="14" t="str">
        <x:v>A2</x:v>
      </x:c>
      <x:c r="B3" s="14" t="str">
        <x:v>Align</x:v>
      </x:c>
      <x:c r="C3" s="14" t="str">
        <x:v>Stakeholder workshops</x:v>
      </x:c>
      <x:c r="D3" s="14" t="str">
        <x:v>“Stakeholder workshops” aparece em Discover &amp; Assess.</x:v>
      </x:c>
      <x:c r="E3" s="14" t="str">
        <x:v>somente a existência da atividade. O material também relaciona Align a leadership vision, people e alignment.</x:v>
      </x:c>
      <x:c r="F3" s="14" t="str">
        <x:v>participantes; quantidade/duração; agenda; perguntas; facilitation method; artefatos preparatórios; método para capturar decisões; outputs e critérios de conclusão.</x:v>
      </x:c>
      <x:c r="G3" s="14" t="str">
        <x:v>PROPOSED — Stakeholder Discovery Workshop Guide, contendo objetivo, perfis de participantes, agenda, perguntas, captura de pain points, business objectives, constraints, decision log e follow-ups.</x:v>
      </x:c>
      <x:c r="H3" s="14" t="str">
        <x:v>AI Labs já possui workshop deck, interview guide ou discovery questionnaire? Existe diferença entre executive workshop, process workshop e technical workshop?</x:v>
      </x:c>
      <x:c r="I3" s="14" t="str">
        <x:v>Medium</x:v>
      </x:c>
      <x:c r="J3" s="14" t="str">
        <x:v>Business/Methodology</x:v>
      </x:c>
      <x:c r="K3" s="14" t="str">
        <x:v>TO VALIDATE WITH AI LABS</x:v>
      </x:c>
      <x:c r="L3" s="14" t="str"/>
      <x:c r="M3" s="14" t="str">
        <x:v>AgilityAI - ABCs 2.pdf; Phase 1 Gap Assessment</x:v>
      </x:c>
      <x:c r="N3" s="14" t="str">
        <x:v>AI Labs material reported; exact activity coverage pending receipt/review</x:v>
      </x:c>
      <x:c r="O3" s="14" t="str">
        <x:v>2026-08-14: Brian directly confirmed that AI Labs has initial Discovery Workshop and Align material and that implementation material exists, but is still being developed and overall is very immature. Exact coverage of this activity is not yet known; keep TO VALIDATE WITH AI LABS until assets are received/reviewed.</x:v>
      </x:c>
    </x:row>
    <x:row r="4" ht="72" customHeight="1">
      <x:c r="A4" s="14" t="str">
        <x:v>A3</x:v>
      </x:c>
      <x:c r="B4" s="14" t="str">
        <x:v>Align</x:v>
      </x:c>
      <x:c r="C4" s="14" t="str">
        <x:v>Data landscape discovery</x:v>
      </x:c>
      <x:c r="D4" s="14" t="str">
        <x:v>atividade de Discover &amp; Assess. Align também afirma avaliar data readiness e construir a data foundation antes do AI.</x:v>
      </x:c>
      <x:c r="E4" s="14" t="str">
        <x:v>relação com Data Readiness, data cleansing, architecture e infrastructure.</x:v>
      </x:c>
      <x:c r="F4" s="14" t="str">
        <x:v>procedimento de discovery; fontes de dados a inventariar; qualidade mínima; ownership; sensitivity/classification; lineage; accessibility; integration dependencies; critérios de AI readiness; template.</x:v>
      </x:c>
      <x:c r="G4" s="14" t="str">
        <x:v>PROPOSED — Data Readiness Assessment &amp; Inventory, relacionando processo/use case → dados → owner → fonte → qualidade → acesso → restrições → gaps.</x:v>
      </x:c>
      <x:c r="H4" s="14" t="str">
        <x:v>existência de um data readiness framework da Marlabs/AI Labs; critérios oficiais para considerar dados “AI-ready”; relação com ferramentas ou práticas existentes de Data &amp; Analytics.</x:v>
      </x:c>
      <x:c r="I4" s="14" t="str">
        <x:v>Medium</x:v>
      </x:c>
      <x:c r="J4" s="14" t="str">
        <x:v>Technical</x:v>
      </x:c>
      <x:c r="K4" s="14" t="str">
        <x:v>TO VALIDATE WITH AI LABS</x:v>
      </x:c>
      <x:c r="L4" s="14" t="str"/>
      <x:c r="M4" s="14" t="str">
        <x:v>AgilityAI - ABCs 2.pdf; Phase 1 Gap Assessment</x:v>
      </x:c>
      <x:c r="N4" s="14" t="str">
        <x:v>AI Labs material reported; exact activity coverage pending receipt/review</x:v>
      </x:c>
      <x:c r="O4" s="14" t="str">
        <x:v>2026-08-14: Brian directly confirmed that AI Labs has initial Discovery Workshop and Align material and that implementation material exists, but is still being developed and overall is very immature. Exact coverage of this activity is not yet known; keep TO VALIDATE WITH AI LABS until assets are received/reviewed.</x:v>
      </x:c>
    </x:row>
    <x:row r="5" ht="72" customHeight="1">
      <x:c r="A5" s="14" t="str">
        <x:v>A4</x:v>
      </x:c>
      <x:c r="B5" s="14" t="str">
        <x:v>Align</x:v>
      </x:c>
      <x:c r="C5" s="14" t="str">
        <x:v>Competitive benchmarking</x:v>
      </x:c>
      <x:c r="D5" s="14" t="str">
        <x:v>aparece em Discover &amp; Assess.</x:v>
      </x:c>
      <x:c r="E5" s="14" t="str">
        <x:v>somente a atividade; a apresentação contém algumas referências de mercado, mas não um método de benchmarking.</x:v>
      </x:c>
      <x:c r="F5" s="14" t="str">
        <x:v>objeto do benchmark; fontes; dimensões; peer group; critérios; output e uso na priorização.</x:v>
      </x:c>
      <x:c r="G5" s="14" t="str">
        <x:v>criar apenas quando aplicável ao engagement um Competitive / Industry AI Benchmark, distinguindo evidência externa, claims e inferências.</x:v>
      </x:c>
      <x:c r="H5" s="14" t="str">
        <x:v>se competitive benchmarking é etapa obrigatória ou opcional; quais fontes/metodologia AI Labs emprega.</x:v>
      </x:c>
      <x:c r="I5" s="14" t="str">
        <x:v>Medium</x:v>
      </x:c>
      <x:c r="J5" s="14" t="str">
        <x:v>Business/Methodology</x:v>
      </x:c>
      <x:c r="K5" s="14" t="str">
        <x:v>TO VALIDATE WITH AI LABS</x:v>
      </x:c>
      <x:c r="L5" s="14" t="str"/>
      <x:c r="M5" s="14" t="str">
        <x:v>AgilityAI - ABCs 2.pdf; Phase 1 Gap Assessment</x:v>
      </x:c>
      <x:c r="N5" s="14" t="str">
        <x:v>AI Labs material reported; exact activity coverage pending receipt/review</x:v>
      </x:c>
      <x:c r="O5" s="14" t="str">
        <x:v>2026-08-14: Brian directly confirmed that AI Labs has initial Discovery Workshop and Align material and that implementation material exists, but is still being developed and overall is very immature. Exact coverage of this activity is not yet known; keep TO VALIDATE WITH AI LABS until assets are received/reviewed.</x:v>
      </x:c>
    </x:row>
    <x:row r="6" ht="72" customHeight="1">
      <x:c r="A6" s="14" t="str">
        <x:v>A5</x:v>
      </x:c>
      <x:c r="B6" s="14" t="str">
        <x:v>Align</x:v>
      </x:c>
      <x:c r="C6" s="14" t="str">
        <x:v>Vision casting</x:v>
      </x:c>
      <x:c r="D6" s="14" t="str">
        <x:v>aparece tanto em Strategy &amp; Use Cases quanto em Define &amp; Align.</x:v>
      </x:c>
      <x:c r="E6" s="14" t="str">
        <x:v>deve contribuir para uma “clear, tangible strategy” e shared strategic roadmap.</x:v>
      </x:c>
      <x:c r="F6" s="14" t="str">
        <x:v>método para transformar business strategy em AI vision; horizonte; artefato; stakeholders que aprovam; critérios de qualidade.</x:v>
      </x:c>
      <x:c r="G6" s="14" t="str">
        <x:v>PROPOSED — AI Vision &amp; Transformation Objectives Canvas, conectando business challenge → desired outcomes → AI role → boundaries → target capabilities → KPIs.</x:v>
      </x:c>
      <x:c r="H6" s="14" t="str">
        <x:v>terminologia oficial de “vision casting”; se existe canvas/template ou método estabelecido.</x:v>
      </x:c>
      <x:c r="I6" s="14" t="str">
        <x:v>Medium</x:v>
      </x:c>
      <x:c r="J6" s="14" t="str">
        <x:v>Business/Methodology</x:v>
      </x:c>
      <x:c r="K6" s="14" t="str">
        <x:v>TO VALIDATE WITH AI LABS</x:v>
      </x:c>
      <x:c r="L6" s="14" t="str"/>
      <x:c r="M6" s="14" t="str">
        <x:v>AgilityAI - ABCs 2.pdf; Phase 1 Gap Assessment</x:v>
      </x:c>
      <x:c r="N6" s="14" t="str">
        <x:v>AI Labs material reported; exact activity coverage pending receipt/review</x:v>
      </x:c>
      <x:c r="O6" s="14" t="str">
        <x:v>2026-08-14: Brian directly confirmed that AI Labs has initial Discovery Workshop and Align material and that implementation material exists, but is still being developed and overall is very immature. Exact coverage of this activity is not yet known; keep TO VALIDATE WITH AI LABS until assets are received/reviewed.</x:v>
      </x:c>
    </x:row>
    <x:row r="7" ht="72" customHeight="1">
      <x:c r="A7" s="14" t="str">
        <x:v>A6</x:v>
      </x:c>
      <x:c r="B7" s="14" t="str">
        <x:v>Align</x:v>
      </x:c>
      <x:c r="C7" s="14" t="str">
        <x:v>KPI definition</x:v>
      </x:c>
      <x:c r="D7" s="14" t="str">
        <x:v>atividade de Define &amp; Align. O Charter posteriormente exige KPI definition durante Phase 2 e estabelece que business value deve ser medido, inclusive produtividade e ROI. Aqui existe uma questão importante: a apresentação coloca KPI definition em Align, enquanto o Charter lista KPI definition como atividade da Phase 2. Isso não precisa ser conflito — é plausível definir KPIs estratégicos inicialmente e detalhar KPIs de processo depois — mas essa interpretação não está formalmente definida.</x:v>
      </x:c>
      <x:c r="E7" s="14" t="str"/>
      <x:c r="F7" s="14" t="str">
        <x:v>tipos de KPI; baseline; fórmulas; owner; frequência; target; source of truth; critérios de seleção.</x:v>
      </x:c>
      <x:c r="G7" s="14" t="str">
        <x:v>separar, como proposta, Business Outcome KPIs em Align e Process/Operational KPIs + baselines antes da implementação de cada use case.</x:v>
      </x:c>
      <x:c r="H7" s="14" t="str">
        <x:v>confirmar com Brian/AI Labs essa diferenciação e obter eventual KPI/value measurement methodology.</x:v>
      </x:c>
      <x:c r="I7" s="14" t="str">
        <x:v>Medium</x:v>
      </x:c>
      <x:c r="J7" s="14" t="str">
        <x:v>Business/Methodology</x:v>
      </x:c>
      <x:c r="K7" s="14" t="str">
        <x:v>TO VALIDATE WITH AI LABS</x:v>
      </x:c>
      <x:c r="L7" s="14" t="str"/>
      <x:c r="M7" s="14" t="str">
        <x:v>AgilityAI - ABCs 2.pdf; Phase 1 Gap Assessment</x:v>
      </x:c>
      <x:c r="N7" s="14" t="str">
        <x:v>AI Labs material reported; exact activity coverage pending receipt/review</x:v>
      </x:c>
      <x:c r="O7" s="14" t="str">
        <x:v>2026-08-14: Brian directly confirmed that AI Labs has initial Discovery Workshop and Align material and that implementation material exists, but is still being developed and overall is very immature. Exact coverage of this activity is not yet known; keep TO VALIDATE WITH AI LABS until assets are received/reviewed.</x:v>
      </x:c>
    </x:row>
    <x:row r="8" ht="72" customHeight="1">
      <x:c r="A8" s="14" t="str">
        <x:v>A7</x:v>
      </x:c>
      <x:c r="B8" s="14" t="str">
        <x:v>Align</x:v>
      </x:c>
      <x:c r="C8" s="14" t="str">
        <x:v>Use case fit &amp; prioritization</x:v>
      </x:c>
      <x:c r="D8" s="14" t="str">
        <x:v>atividade central de Strategy &amp; Use Cases; aparece como Use Case Sprint nos Next Steps, cujo objetivo é “identify and score top AI opportunities”. Também aparece na Phase 2 brasileira.</x:v>
      </x:c>
      <x:c r="E8" s="14" t="str">
        <x:v>há evidência de que deve haver scoring, mas nenhum scoring model está presente.</x:v>
      </x:c>
      <x:c r="F8" s="14" t="str">
        <x:v>critérios; pesos; escalas; eligibility; dependencies; risk; business value; complexity; data readiness; feasibility; decision rule; template.</x:v>
      </x:c>
      <x:c r="G8" s="14" t="str">
        <x:v>PROPOSED — AI Use Case Intake &amp; Prioritization Matrix, contendo no mínimo business problem, volume, baseline, value potential, AI fit, data readiness, integration complexity, risk/governance, effort e dependency. Os pesos não devem ser tratados como oficiais até validação.</x:v>
      </x:c>
      <x:c r="H8" s="14" t="str">
        <x:v>este é um dos itens prioritários com AI Labs: solicitar o modelo de Use Case Sprint, scoring criteria e quaisquer templates existentes.</x:v>
      </x:c>
      <x:c r="I8" s="14" t="str">
        <x:v>High</x:v>
      </x:c>
      <x:c r="J8" s="14" t="str">
        <x:v>Technical</x:v>
      </x:c>
      <x:c r="K8" s="14" t="str">
        <x:v>TO VALIDATE WITH AI LABS</x:v>
      </x:c>
      <x:c r="L8" s="14" t="str"/>
      <x:c r="M8" s="14" t="str">
        <x:v>AgilityAI - ABCs 2.pdf; Phase 1 Gap Assessment</x:v>
      </x:c>
      <x:c r="N8" s="14" t="str">
        <x:v>AI Labs material reported; exact activity coverage pending receipt/review</x:v>
      </x:c>
      <x:c r="O8" s="14" t="str">
        <x:v>2026-08-14: Brian directly confirmed that AI Labs has initial Discovery Workshop and Align material and that implementation material exists, but is still being developed and overall is very immature. Exact coverage of this activity is not yet known; keep TO VALIDATE WITH AI LABS until assets are received/reviewed.</x:v>
      </x:c>
    </x:row>
    <x:row r="9" ht="72" customHeight="1">
      <x:c r="A9" s="14" t="str">
        <x:v>A8</x:v>
      </x:c>
      <x:c r="B9" s="14" t="str">
        <x:v>Align</x:v>
      </x:c>
      <x:c r="C9" s="14" t="str">
        <x:v>Tech stack evaluation</x:v>
      </x:c>
      <x:c r="D9" s="14" t="str">
        <x:v>atividade em Define &amp; Align.</x:v>
      </x:c>
      <x:c r="E9" s="14" t="str">
        <x:v>Build menciona scalable cloud infrastructure, secure data pipelines, enterprise-standard integration architecture, MLOps platforms e LLM wrappers. A apresentação também cita PromptRouter®, mas não define stack obrigatória.</x:v>
      </x:c>
      <x:c r="F9" s="14" t="str">
        <x:v>evaluation criteria; approved technologies; reference stack; cloud preferences; architectural constraints; make/buy/reuse decision framework.</x:v>
      </x:c>
      <x:c r="G9" s="14" t="str">
        <x:v>PROPOSED — Technology Evaluation Matrix, avaliando fit, interoperability, security, data/privacy, cost, operations, scalability, vendor dependency e alignment com existing Marlabs capabilities.</x:v>
      </x:c>
      <x:c r="H9" s="14" t="str">
        <x:v>tecnologias obrigatórias/aprovadas; PromptRouter® positioning; cloud/platform standards; existing reference architectures.</x:v>
      </x:c>
      <x:c r="I9" s="14" t="str">
        <x:v>High</x:v>
      </x:c>
      <x:c r="J9" s="14" t="str">
        <x:v>Technical</x:v>
      </x:c>
      <x:c r="K9" s="14" t="str">
        <x:v>TO VALIDATE WITH AI LABS</x:v>
      </x:c>
      <x:c r="L9" s="14" t="str"/>
      <x:c r="M9" s="14" t="str">
        <x:v>AgilityAI - ABCs 2.pdf; Phase 1 Gap Assessment</x:v>
      </x:c>
      <x:c r="N9" s="14" t="str">
        <x:v>AI Labs material reported; exact activity coverage pending receipt/review</x:v>
      </x:c>
      <x:c r="O9" s="14" t="str">
        <x:v>2026-08-14: Brian directly confirmed that AI Labs has initial Discovery Workshop and Align material and that implementation material exists, but is still being developed and overall is very immature. Exact coverage of this activity is not yet known; keep TO VALIDATE WITH AI LABS until assets are received/reviewed. 2026-08-13: Matheus reported that Brian wants the framework replicable across AWS/Azure/Google and Azure Foundry is expected as an initial test context; treat this portability detail as second-hand until confirmed.</x:v>
      </x:c>
    </x:row>
    <x:row r="10" ht="72" customHeight="1">
      <x:c r="A10" s="14" t="str">
        <x:v>A9</x:v>
      </x:c>
      <x:c r="B10" s="14" t="str">
        <x:v>Align</x:v>
      </x:c>
      <x:c r="C10" s="14" t="str">
        <x:v>ROI assessment</x:v>
      </x:c>
      <x:c r="D10" s="14" t="str">
        <x:v>Strategy &amp; Use Cases e Define &amp; Align. O Charter exige posteriormente ROI metrics e um ROI measurement framework.</x:v>
      </x:c>
      <x:c r="E10" s="14" t="str">
        <x:v>apenas a necessidade de ROI/value. Não há fórmula, cost model, benefit model, horizon ou threshold.</x:v>
      </x:c>
      <x:c r="F10" s="14" t="str">
        <x:v>metodologia completa.</x:v>
      </x:c>
      <x:c r="G10" s="14" t="str">
        <x:v>adotar como artefato proposto uma sequência Baseline → Implementation → Measurement → Comparison → Value, registrando tempo, esforço, volume, custo, erros/retrabalho e qualidade apenas quando disponíveis. O Knowledge Guide recomenda essa abordagem, mas explicitamente não é fonte oficial.</x:v>
      </x:c>
      <x:c r="H10" s="14" t="str">
        <x:v>modelo de ROI/PoV utilizado pelo AI Labs; categorias de benefício; tratamento de hard versus soft savings; horizonte de cálculo.</x:v>
      </x:c>
      <x:c r="I10" s="14" t="str">
        <x:v>Medium</x:v>
      </x:c>
      <x:c r="J10" s="14" t="str">
        <x:v>Business/Methodology</x:v>
      </x:c>
      <x:c r="K10" s="14" t="str">
        <x:v>TO VALIDATE WITH AI LABS</x:v>
      </x:c>
      <x:c r="L10" s="14" t="str"/>
      <x:c r="M10" s="14" t="str">
        <x:v>AgilityAI - ABCs 2.pdf; Phase 1 Gap Assessment</x:v>
      </x:c>
      <x:c r="N10" s="14" t="str">
        <x:v>AI Labs material reported; exact activity coverage pending receipt/review</x:v>
      </x:c>
      <x:c r="O10" s="14" t="str">
        <x:v>2026-08-14: Brian directly confirmed that AI Labs has initial Discovery Workshop and Align material and that implementation material exists, but is still being developed and overall is very immature. Exact coverage of this activity is not yet known; keep TO VALIDATE WITH AI LABS until assets are received/reviewed.</x:v>
      </x:c>
    </x:row>
    <x:row r="11" ht="72" customHeight="1">
      <x:c r="A11" s="14" t="str">
        <x:v>A10</x:v>
      </x:c>
      <x:c r="B11" s="14" t="str">
        <x:v>Align</x:v>
      </x:c>
      <x:c r="C11" s="14" t="str">
        <x:v>Process transformation</x:v>
      </x:c>
      <x:c r="D11" s="14" t="str">
        <x:v>aparece em Process &amp; Data Readiness.</x:v>
      </x:c>
      <x:c r="E11" s="14" t="str">
        <x:v>não há método descrito. O Charter, porém, posteriormente inclui process discovery, process automation e AI workflow implementation.</x:v>
      </x:c>
      <x:c r="F11" s="14" t="str">
        <x:v>conexão formal entre current-state discovery, redesign, AI suitability e target process; notação; level of detail; approval; baseline.</x:v>
      </x:c>
      <x:c r="G11" s="14" t="str">
        <x:v>PROPOSED — Process Discovery &amp; AI Transformation Pack: process inventory → current state → pain points → baseline → AI opportunities → target state → controls → measurement.</x:v>
      </x:c>
      <x:c r="H11" s="14" t="str">
        <x:v>metodologia existente de Process Management/RPA/AI Labs que deva ser reutilizada; nível de processo esperado no AgilityAI.</x:v>
      </x:c>
      <x:c r="I11" s="14" t="str">
        <x:v>Medium</x:v>
      </x:c>
      <x:c r="J11" s="14" t="str">
        <x:v>Business/Methodology</x:v>
      </x:c>
      <x:c r="K11" s="14" t="str">
        <x:v>TO VALIDATE WITH AI LABS</x:v>
      </x:c>
      <x:c r="L11" s="14" t="str"/>
      <x:c r="M11" s="14" t="str">
        <x:v>AgilityAI - ABCs 2.pdf; Phase 1 Gap Assessment</x:v>
      </x:c>
      <x:c r="N11" s="14" t="str">
        <x:v>AI Labs material reported; exact activity coverage pending receipt/review</x:v>
      </x:c>
      <x:c r="O11" s="14" t="str">
        <x:v>2026-08-14: Brian directly confirmed that AI Labs has initial Discovery Workshop and Align material and that implementation material exists, but is still being developed and overall is very immature. Exact coverage of this activity is not yet known; keep TO VALIDATE WITH AI LABS until assets are received/reviewed.</x:v>
      </x:c>
    </x:row>
    <x:row r="12" ht="72" customHeight="1">
      <x:c r="A12" s="14" t="str">
        <x:v>A11</x:v>
      </x:c>
      <x:c r="B12" s="14" t="str">
        <x:v>Align</x:v>
      </x:c>
      <x:c r="C12" s="14" t="str">
        <x:v>Data cleansing</x:v>
      </x:c>
      <x:c r="D12" s="14" t="str">
        <x:v>atividade de Process &amp; Data Readiness e novamente em Design &amp; Plan (“Infrastructure build &amp; data cleansing”).</x:v>
      </x:c>
      <x:c r="E12" s="14" t="str">
        <x:v>objetivo implícito de preparar dados; nenhum processo técnico.</x:v>
      </x:c>
      <x:c r="F12" s="14" t="str">
        <x:v>profiling, cleansing rules, ownership, quality dimensions, thresholds, remediation workflow e acceptance.</x:v>
      </x:c>
      <x:c r="G12" s="14" t="str">
        <x:v>definir por use case um Data Quality Plan, sem criar thresholds genéricos antes de conhecer os dados.</x:v>
      </x:c>
      <x:c r="H12" s="14" t="str">
        <x:v>padrões e ferramentas de data quality já existentes.</x:v>
      </x:c>
      <x:c r="I12" s="14" t="str">
        <x:v>Medium</x:v>
      </x:c>
      <x:c r="J12" s="14" t="str">
        <x:v>Technical</x:v>
      </x:c>
      <x:c r="K12" s="14" t="str">
        <x:v>TO VALIDATE WITH AI LABS</x:v>
      </x:c>
      <x:c r="L12" s="14" t="str"/>
      <x:c r="M12" s="14" t="str">
        <x:v>AgilityAI - ABCs 2.pdf; Phase 1 Gap Assessment</x:v>
      </x:c>
      <x:c r="N12" s="14" t="str">
        <x:v>AI Labs material reported; exact activity coverage pending receipt/review</x:v>
      </x:c>
      <x:c r="O12" s="14" t="str">
        <x:v>2026-08-14: Brian directly confirmed that AI Labs has initial Discovery Workshop and Align material and that implementation material exists, but is still being developed and overall is very immature. Exact coverage of this activity is not yet known; keep TO VALIDATE WITH AI LABS until assets are received/reviewed.</x:v>
      </x:c>
    </x:row>
    <x:row r="13" ht="72" customHeight="1">
      <x:c r="A13" s="14" t="str">
        <x:v>A12</x:v>
      </x:c>
      <x:c r="B13" s="14" t="str">
        <x:v>Align</x:v>
      </x:c>
      <x:c r="C13" s="14" t="str">
        <x:v>Target-state architecture design</x:v>
      </x:c>
      <x:c r="D13" s="14" t="str">
        <x:v>Process &amp; Data Readiness e Design &amp; Plan, onde aparece “industry-aligned target-state architecture design”.</x:v>
      </x:c>
      <x:c r="E13" s="14" t="str">
        <x:v>Build sugere modular architecture, cloud infrastructure, secure data pipelines e enterprise integration. Control adiciona architecture &amp; standards/reference architectures &amp; design patterns.</x:v>
      </x:c>
      <x:c r="F13" s="14" t="str">
        <x:v>reference architecture completa, required views, technology decisions, security architecture, NFRs, patterns e architecture review criteria.</x:v>
      </x:c>
      <x:c r="G13" s="14" t="str">
        <x:v>PROPOSED — AI Target Architecture Template, cobrindo application/agent, model/LLM, data/RAG quando aplicável, integrations, identity/access, observability, deployment e governance.</x:v>
      </x:c>
      <x:c r="H13" s="14" t="str">
        <x:v>existência das reference architectures/design patterns citadas em Control.</x:v>
      </x:c>
      <x:c r="I13" s="14" t="str">
        <x:v>High</x:v>
      </x:c>
      <x:c r="J13" s="14" t="str">
        <x:v>Technical</x:v>
      </x:c>
      <x:c r="K13" s="14" t="str">
        <x:v>TO VALIDATE WITH AI LABS</x:v>
      </x:c>
      <x:c r="L13" s="14" t="str"/>
      <x:c r="M13" s="14" t="str">
        <x:v>AgilityAI - ABCs 2.pdf; Phase 1 Gap Assessment</x:v>
      </x:c>
      <x:c r="N13" s="14" t="str">
        <x:v>AI Labs material reported; exact activity coverage pending receipt/review</x:v>
      </x:c>
      <x:c r="O13" s="14" t="str">
        <x:v>2026-08-14: Brian directly confirmed that AI Labs has initial Discovery Workshop and Align material and that implementation material exists, but is still being developed and overall is very immature. Exact coverage of this activity is not yet known; keep TO VALIDATE WITH AI LABS until assets are received/reviewed. 2026-08-13: Multi-cloud portability may constrain target-state architecture; avoid provider lock-in before the requirement is directly confirmed.</x:v>
      </x:c>
    </x:row>
    <x:row r="14" ht="72" customHeight="1">
      <x:c r="A14" s="14" t="str">
        <x:v>A13</x:v>
      </x:c>
      <x:c r="B14" s="14" t="str">
        <x:v>Align</x:v>
      </x:c>
      <x:c r="C14" s="14" t="str">
        <x:v>Strategic roadmap creation</x:v>
      </x:c>
      <x:c r="D14" s="14" t="str">
        <x:v>atividade fundamental de Align; Design &amp; Plan cita roadmap de 12–18 meses, talent strategy e investment prioritization. Os Next Steps também trazem Strategic Roadmap Development.</x:v>
      </x:c>
      <x:c r="E14" s="14" t="str">
        <x:v>horizonte e sequência geral. A apresentação associa aproximadamente Discover &amp; Assess a Day 30, Define &amp; Align a Day 60, Design &amp; Plan a Day 90 e Activate &amp; Scale a ongoing.</x:v>
      </x:c>
      <x:c r="F14" s="14" t="str">
        <x:v>template; entry criteria; dependencies; roadmap layers; prioritization logic; assumptions; resource/cost model.</x:v>
      </x:c>
      <x:c r="G14" s="14" t="str">
        <x:v>roadmap com waves, use cases, enablers, data/architecture, governance, people/change, measurement, dependencies e decisions.</x:v>
      </x:c>
      <x:c r="H14" s="14" t="str">
        <x:v>se Day 30/60/90 e 12–18 months são modelo metodológico prescritivo ou apenas illustrative commercial positioning.</x:v>
      </x:c>
      <x:c r="I14" s="14" t="str">
        <x:v>Medium</x:v>
      </x:c>
      <x:c r="J14" s="14" t="str">
        <x:v>Business/Methodology</x:v>
      </x:c>
      <x:c r="K14" s="14" t="str">
        <x:v>TO VALIDATE WITH AI LABS</x:v>
      </x:c>
      <x:c r="L14" s="14" t="str"/>
      <x:c r="M14" s="14" t="str">
        <x:v>AgilityAI - ABCs 2.pdf; Phase 1 Gap Assessment</x:v>
      </x:c>
      <x:c r="N14" s="14" t="str">
        <x:v>AI Labs material reported; exact activity coverage pending receipt/review</x:v>
      </x:c>
      <x:c r="O14" s="14" t="str">
        <x:v>2026-08-14: Brian directly confirmed that AI Labs has initial Discovery Workshop and Align material and that implementation material exists, but is still being developed and overall is very immature. Exact coverage of this activity is not yet known; keep TO VALIDATE WITH AI LABS until assets are received/reviewed.</x:v>
      </x:c>
    </x:row>
    <x:row r="15" ht="72" customHeight="1">
      <x:c r="A15" s="14" t="str">
        <x:v>A14</x:v>
      </x:c>
      <x:c r="B15" s="14" t="str">
        <x:v>Align</x:v>
      </x:c>
      <x:c r="C15" s="14" t="str">
        <x:v>Investment prioritization</x:v>
      </x:c>
      <x:c r="D15" s="14" t="str">
        <x:v>Design &amp; Plan.</x:v>
      </x:c>
      <x:c r="E15" s="14" t="str"/>
      <x:c r="F15" s="14" t="str">
        <x:v>portfolio model, funding gates, business case thresholds.</x:v>
      </x:c>
      <x:c r="G15" s="14" t="str">
        <x:v>vincular investimento ao portfolio de use cases e enablers, mas sem thresholds inventados.</x:v>
      </x:c>
      <x:c r="H15" s="14" t="str">
        <x:v>portfolio governance/financial model existente.</x:v>
      </x:c>
      <x:c r="I15" s="14" t="str">
        <x:v>Medium</x:v>
      </x:c>
      <x:c r="J15" s="14" t="str">
        <x:v>Business/Methodology</x:v>
      </x:c>
      <x:c r="K15" s="14" t="str">
        <x:v>TO VALIDATE WITH AI LABS</x:v>
      </x:c>
      <x:c r="L15" s="14" t="str"/>
      <x:c r="M15" s="14" t="str">
        <x:v>AgilityAI - ABCs 2.pdf; Phase 1 Gap Assessment</x:v>
      </x:c>
      <x:c r="N15" s="14" t="str">
        <x:v>AI Labs material reported; exact activity coverage pending receipt/review</x:v>
      </x:c>
      <x:c r="O15" s="14" t="str">
        <x:v>2026-08-14: Brian directly confirmed that AI Labs has initial Discovery Workshop and Align material and that implementation material exists, but is still being developed and overall is very immature. Exact coverage of this activity is not yet known; keep TO VALIDATE WITH AI LABS until assets are received/reviewed.</x:v>
      </x:c>
    </x:row>
    <x:row r="16" ht="72" customHeight="1">
      <x:c r="A16" s="14" t="str">
        <x:v>A15</x:v>
      </x:c>
      <x:c r="B16" s="14" t="str">
        <x:v>Align</x:v>
      </x:c>
      <x:c r="C16" s="14" t="str">
        <x:v>AI policy &amp; risk frameworks</x:v>
      </x:c>
      <x:c r="D16" s="14" t="str">
        <x:v>AI Governance &amp; Enablement, ainda dentro de Align.</x:v>
      </x:c>
      <x:c r="E16" s="14" t="str">
        <x:v>Control detalha posteriormente alguns componentes organizacionais e responsabilidades, mas não fornece policies/templates.</x:v>
      </x:c>
      <x:c r="F16" s="14" t="str">
        <x:v>risk taxonomy, policy contents, risk tiers, assessment procedure, approval, exception process.</x:v>
      </x:c>
      <x:c r="G16" s="14" t="str">
        <x:v>em Align, fazer um governance readiness assessment e definir requirements; em Control, operacionalizar.</x:v>
      </x:c>
      <x:c r="H16" s="14" t="str">
        <x:v>policies, risk taxonomy e model risk-tiering methodology existentes em AI Labs/Marlabs.</x:v>
      </x:c>
      <x:c r="I16" s="14" t="str">
        <x:v>Medium</x:v>
      </x:c>
      <x:c r="J16" s="14" t="str">
        <x:v>Business/Methodology</x:v>
      </x:c>
      <x:c r="K16" s="14" t="str">
        <x:v>TO VALIDATE WITH AI LABS</x:v>
      </x:c>
      <x:c r="L16" s="14" t="str"/>
      <x:c r="M16" s="14" t="str">
        <x:v>AgilityAI - ABCs 2.pdf; Phase 1 Gap Assessment</x:v>
      </x:c>
      <x:c r="N16" s="14" t="str">
        <x:v>AI Labs material reported; exact activity coverage pending receipt/review</x:v>
      </x:c>
      <x:c r="O16" s="14" t="str">
        <x:v>2026-08-14: Brian directly confirmed that AI Labs has initial Discovery Workshop and Align material and that implementation material exists, but is still being developed and overall is very immature. Exact coverage of this activity is not yet known; keep TO VALIDATE WITH AI LABS until assets are received/reviewed.</x:v>
      </x:c>
    </x:row>
    <x:row r="17" ht="72" customHeight="1">
      <x:c r="A17" s="14" t="str">
        <x:v>A16</x:v>
      </x:c>
      <x:c r="B17" s="14" t="str">
        <x:v>Align</x:v>
      </x:c>
      <x:c r="C17" s="14" t="str">
        <x:v>Change management, talent strategy, training/upskilling</x:v>
      </x:c>
      <x:c r="D17" s="14" t="str">
        <x:v>grupo AI Governance &amp; Enablement; roadmap inclui talent strategy, change management e training enablement.</x:v>
      </x:c>
      <x:c r="E17" s="14" t="str">
        <x:v>objetivo e presença no roadmap; nenhum método.</x:v>
      </x:c>
      <x:c r="F17" s="14" t="str">
        <x:v>stakeholder impact assessment, roles/capabilities, curriculum, adoption measurement, communications plan.</x:v>
      </x:c>
      <x:c r="G17" s="14" t="str">
        <x:v>três artefatos conectados: Change Impact Assessment, AI Capability/Role Matrix e Training &amp; Adoption Plan.</x:v>
      </x:c>
      <x:c r="H17" s="14" t="str">
        <x:v>materiais oficiais de enablement/training e change methodology existentes.</x:v>
      </x:c>
      <x:c r="I17" s="14" t="str">
        <x:v>Medium</x:v>
      </x:c>
      <x:c r="J17" s="14" t="str">
        <x:v>Business/Methodology</x:v>
      </x:c>
      <x:c r="K17" s="14" t="str">
        <x:v>TO VALIDATE WITH AI LABS</x:v>
      </x:c>
      <x:c r="L17" s="14" t="str"/>
      <x:c r="M17" s="14" t="str">
        <x:v>AgilityAI - ABCs 2.pdf; Phase 1 Gap Assessment</x:v>
      </x:c>
      <x:c r="N17" s="14" t="str">
        <x:v>AI Labs material reported; exact activity coverage pending receipt/review</x:v>
      </x:c>
      <x:c r="O17" s="14" t="str">
        <x:v>2026-08-14: Brian directly confirmed that AI Labs has initial Discovery Workshop and Align material and that implementation material exists, but is still being developed and overall is very immature. Exact coverage of this activity is not yet known; keep TO VALIDATE WITH AI LABS until assets are received/reviewed.</x:v>
      </x:c>
    </x:row>
    <x:row r="18" ht="72" customHeight="1">
      <x:c r="A18" s="14" t="str">
        <x:v>B1</x:v>
      </x:c>
      <x:c r="B18" s="14" t="str">
        <x:v>Build</x:v>
      </x:c>
      <x:c r="C18" s="14" t="str">
        <x:v>Manual experiments with tools / Proof of Concept and Value</x:v>
      </x:c>
      <x:c r="D18" s="14" t="str">
        <x:v>“Manual experiments with tools” em Proof of Concept and Value; Build Foundation menciona manual PoC experiments; Next Steps termina em Pilot Execution para entregar um high-value proof of concept.</x:v>
      </x:c>
      <x:c r="E18" s="14" t="str"/>
      <x:c r="F18" s="14" t="str">
        <x:v>diferença formal entre PoC, PoV e Pilot; hypothesis; experiment design; success metrics; exit criteria; documentation template.</x:v>
      </x:c>
      <x:c r="G18" s="14" t="str">
        <x:v>PROPOSED — PoC/PoV Experiment Charter, com hypothesis, baseline, scope, dataset/process, expected business/technical evidence, risk, test procedure, result e go/no-go recommendation.</x:v>
      </x:c>
      <x:c r="H18" s="14" t="str">
        <x:v>definições oficiais de PoC/PoV/Pilot e experiment methodology.</x:v>
      </x:c>
      <x:c r="I18" s="14" t="str">
        <x:v>Medium</x:v>
      </x:c>
      <x:c r="J18" s="14" t="str">
        <x:v>Technical</x:v>
      </x:c>
      <x:c r="K18" s="14" t="str">
        <x:v>TO VALIDATE WITH AI LABS</x:v>
      </x:c>
      <x:c r="L18" s="14" t="str"/>
      <x:c r="M18" s="14" t="str">
        <x:v>AgilityAI - ABCs 2.pdf; Phase 1 Gap Assessment</x:v>
      </x:c>
      <x:c r="N18" s="14" t="str">
        <x:v>AI Labs reports Build advanced; tools/accelerators exist; inventory pending</x:v>
      </x:c>
      <x:c r="O18" s="14" t="str">
        <x:v>2026-08-14: Brian directly reported that Build is 'very advanced' and that AI Labs has tools and accelerators to assist. Existing assets must be inventoried/reviewed before Brazil creates equivalent Build artifacts. Exact asset catalog, access path, maturity per activity and documentation are still pending.</x:v>
      </x:c>
    </x:row>
    <x:row r="19" ht="72" customHeight="1">
      <x:c r="A19" s="14" t="str">
        <x:v>B2</x:v>
      </x:c>
      <x:c r="B19" s="14" t="str">
        <x:v>Build</x:v>
      </x:c>
      <x:c r="C19" s="14" t="str">
        <x:v>AI-assisted engineering</x:v>
      </x:c>
      <x:c r="D19" s="14" t="str">
        <x:v>Proof of Concept and Value e AI-Assisted Engineering &amp; SDLC.</x:v>
      </x:c>
      <x:c r="E19" s="14" t="str">
        <x:v>relacionado a deployment, build-code orchestration, evaluation, testing e continuous improvement.</x:v>
      </x:c>
      <x:c r="F19" s="14" t="str">
        <x:v>ferramentas, coding practices, guardrails, approval, code review, security, IP handling e metrics.</x:v>
      </x:c>
      <x:c r="G19" s="14" t="str">
        <x:v>engineering guidelines específicas para o piloto Brasil, identificadas como propostas até confirmação.</x:v>
      </x:c>
      <x:c r="H19" s="14" t="str">
        <x:v>AI-assisted engineering standards do AI Labs.</x:v>
      </x:c>
      <x:c r="I19" s="14" t="str">
        <x:v>Medium</x:v>
      </x:c>
      <x:c r="J19" s="14" t="str">
        <x:v>Technical</x:v>
      </x:c>
      <x:c r="K19" s="14" t="str">
        <x:v>TO VALIDATE WITH AI LABS</x:v>
      </x:c>
      <x:c r="L19" s="14" t="str"/>
      <x:c r="M19" s="14" t="str">
        <x:v>AgilityAI - ABCs 2.pdf; Phase 1 Gap Assessment</x:v>
      </x:c>
      <x:c r="N19" s="14" t="str">
        <x:v>AI Labs reports Build advanced; tools/accelerators exist; inventory pending</x:v>
      </x:c>
      <x:c r="O19" s="14" t="str">
        <x:v>2026-08-14: Brian directly reported that Build is 'very advanced' and that AI Labs has tools and accelerators to assist. Existing assets must be inventoried/reviewed before Brazil creates equivalent Build artifacts. Exact asset catalog, access path, maturity per activity and documentation are still pending.</x:v>
      </x:c>
    </x:row>
    <x:row r="20" ht="72" customHeight="1">
      <x:c r="A20" s="14" t="str">
        <x:v>B3</x:v>
      </x:c>
      <x:c r="B20" s="14" t="str">
        <x:v>Build</x:v>
      </x:c>
      <x:c r="C20" s="14" t="str">
        <x:v>Core foundation &amp; modular architecture</x:v>
      </x:c>
      <x:c r="D20" s="14" t="str">
        <x:v>scalable cloud infrastructure, secure data pipelines, manual PoC experiments e enterprise-standard integration architecture.</x:v>
      </x:c>
      <x:c r="E20" s="14" t="str"/>
      <x:c r="F20" s="14" t="str">
        <x:v>componentes mínimos; technologies; cloud; deployment topology; integration patterns; security baseline; NFRs.</x:v>
      </x:c>
      <x:c r="G20" s="14" t="str">
        <x:v>criar reference architecture brasileira apenas após inventário das arquiteturas/padrões existentes.</x:v>
      </x:c>
      <x:c r="H20" s="14" t="str">
        <x:v>solicitar “enterprise-ready core”, reference architecture e integration patterns mencionados pelo framework.</x:v>
      </x:c>
      <x:c r="I20" s="14" t="str">
        <x:v>High</x:v>
      </x:c>
      <x:c r="J20" s="14" t="str">
        <x:v>Technical</x:v>
      </x:c>
      <x:c r="K20" s="14" t="str">
        <x:v>TO VALIDATE WITH AI LABS</x:v>
      </x:c>
      <x:c r="L20" s="14" t="str"/>
      <x:c r="M20" s="14" t="str">
        <x:v>AgilityAI - ABCs 2.pdf; Phase 1 Gap Assessment</x:v>
      </x:c>
      <x:c r="N20" s="14" t="str">
        <x:v>AI Labs reports Build advanced; tools/accelerators exist; inventory pending</x:v>
      </x:c>
      <x:c r="O20" s="14" t="str">
        <x:v>2026-08-14: Brian directly reported that Build is 'very advanced' and that AI Labs has tools and accelerators to assist. Existing assets must be inventoried/reviewed before Brazil creates equivalent Build artifacts. Exact asset catalog, access path, maturity per activity and documentation are still pending. 2026-08-13: LLM/development environment access appears obtainable via Padmesh; capture environment, security, model, quota and platform constraints during provisioning.</x:v>
      </x:c>
    </x:row>
    <x:row r="21" ht="72" customHeight="1">
      <x:c r="A21" s="14" t="str">
        <x:v>B4</x:v>
      </x:c>
      <x:c r="B21" s="14" t="str">
        <x:v>Build</x:v>
      </x:c>
      <x:c r="C21" s="14" t="str">
        <x:v>Build-code orchestration</x:v>
      </x:c>
      <x:c r="D21" s="14" t="str">
        <x:v>AI SDLC.</x:v>
      </x:c>
      <x:c r="E21" s="14" t="str">
        <x:v>nada além do nome e sua associação a AI-assisted deployment.</x:v>
      </x:c>
      <x:c r="F21" s="14" t="str">
        <x:v>significado operacional de “build-code orchestration”; ferramentas; workflow; triggers; approvals; artifact/version management.</x:v>
      </x:c>
      <x:c r="G21" s="14" t="str">
        <x:v>não fechar método ainda. Primeiro esclarecer o conceito com AI Labs.</x:v>
      </x:c>
      <x:c r="H21" s="14" t="str">
        <x:v>definição exata e exemplos.</x:v>
      </x:c>
      <x:c r="I21" s="14" t="str">
        <x:v>Critical</x:v>
      </x:c>
      <x:c r="J21" s="14" t="str">
        <x:v>Technical</x:v>
      </x:c>
      <x:c r="K21" s="14" t="str">
        <x:v>TO VALIDATE WITH AI LABS</x:v>
      </x:c>
      <x:c r="L21" s="14" t="str"/>
      <x:c r="M21" s="14" t="str">
        <x:v>AgilityAI - ABCs 2.pdf; Phase 1 Gap Assessment</x:v>
      </x:c>
      <x:c r="N21" s="14" t="str">
        <x:v>AI Labs reports Build advanced; tools/accelerators exist; inventory pending</x:v>
      </x:c>
      <x:c r="O21" s="14" t="str">
        <x:v>2026-08-14: Brian directly reported that Build is 'very advanced' and that AI Labs has tools and accelerators to assist. Existing assets must be inventoried/reviewed before Brazil creates equivalent Build artifacts. Exact asset catalog, access path, maturity per activity and documentation are still pending.</x:v>
      </x:c>
    </x:row>
    <x:row r="22" ht="72" customHeight="1">
      <x:c r="A22" s="14" t="str">
        <x:v>B5</x:v>
      </x:c>
      <x:c r="B22" s="14" t="str">
        <x:v>Build</x:v>
      </x:c>
      <x:c r="C22" s="14" t="str">
        <x:v>Model evaluation</x:v>
      </x:c>
      <x:c r="D22" s="14" t="str">
        <x:v>AI SDLC e execution model.</x:v>
      </x:c>
      <x:c r="E22" s="14" t="str"/>
      <x:c r="F22" s="14" t="str">
        <x:v>tipos de evaluation; datasets; metrics; thresholds; human evaluation; regression; robustness; safety; acceptance gate.</x:v>
      </x:c>
      <x:c r="G22" s="14" t="str">
        <x:v>PROPOSED — AI Evaluation Plan por use case, selecionando métricas de acordo com o comportamento da solução, e não uma métrica universal.</x:v>
      </x:c>
      <x:c r="H22" s="14" t="str">
        <x:v>evaluation framework, benchmark suite, tooling e acceptance criteria do AI Labs.</x:v>
      </x:c>
      <x:c r="I22" s="14" t="str">
        <x:v>High</x:v>
      </x:c>
      <x:c r="J22" s="14" t="str">
        <x:v>Technical</x:v>
      </x:c>
      <x:c r="K22" s="14" t="str">
        <x:v>TO VALIDATE WITH AI LABS</x:v>
      </x:c>
      <x:c r="L22" s="14" t="str"/>
      <x:c r="M22" s="14" t="str">
        <x:v>AgilityAI - ABCs 2.pdf; Phase 1 Gap Assessment</x:v>
      </x:c>
      <x:c r="N22" s="14" t="str">
        <x:v>AI Labs reports Build advanced; tools/accelerators exist; inventory pending</x:v>
      </x:c>
      <x:c r="O22" s="14" t="str">
        <x:v>2026-08-14: Brian directly reported that Build is 'very advanced' and that AI Labs has tools and accelerators to assist. Existing assets must be inventoried/reviewed before Brazil creates equivalent Build artifacts. Exact asset catalog, access path, maturity per activity and documentation are still pending.</x:v>
      </x:c>
    </x:row>
    <x:row r="23" ht="72" customHeight="1">
      <x:c r="A23" s="14" t="str">
        <x:v>B6</x:v>
      </x:c>
      <x:c r="B23" s="14" t="str">
        <x:v>Build</x:v>
      </x:c>
      <x:c r="C23" s="14" t="str">
        <x:v>Testing / Quality Engineering</x:v>
      </x:c>
      <x:c r="D23" s="14" t="str">
        <x:v>execution model cita testing; o SDLC visual possui Quality Engineering e “Testing Automation &amp; Generation Accelerators”.</x:v>
      </x:c>
      <x:c r="E23" s="14" t="str"/>
      <x:c r="F23" s="14" t="str">
        <x:v>test levels; AI-specific testing; test data; automation approach; quality gates.</x:v>
      </x:c>
      <x:c r="G23" s="14" t="str">
        <x:v>integrar software testing convencional + AI evaluation + agent/workflow testing, conforme aplicável.</x:v>
      </x:c>
      <x:c r="H23" s="14" t="str">
        <x:v>testing accelerators existentes e quality gates.</x:v>
      </x:c>
      <x:c r="I23" s="14" t="str">
        <x:v>Medium</x:v>
      </x:c>
      <x:c r="J23" s="14" t="str">
        <x:v>Technical</x:v>
      </x:c>
      <x:c r="K23" s="14" t="str">
        <x:v>TO VALIDATE WITH AI LABS</x:v>
      </x:c>
      <x:c r="L23" s="14" t="str"/>
      <x:c r="M23" s="14" t="str">
        <x:v>AgilityAI - ABCs 2.pdf; Phase 1 Gap Assessment</x:v>
      </x:c>
      <x:c r="N23" s="14" t="str">
        <x:v>AI Labs reports Build advanced; tools/accelerators exist; inventory pending</x:v>
      </x:c>
      <x:c r="O23" s="14" t="str">
        <x:v>2026-08-14: Brian directly reported that Build is 'very advanced' and that AI Labs has tools and accelerators to assist. Existing assets must be inventoried/reviewed before Brazil creates equivalent Build artifacts. Exact asset catalog, access path, maturity per activity and documentation are still pending.</x:v>
      </x:c>
    </x:row>
    <x:row r="24" ht="72" customHeight="1">
      <x:c r="A24" s="14" t="str">
        <x:v>B7</x:v>
      </x:c>
      <x:c r="B24" s="14" t="str">
        <x:v>Build</x:v>
      </x:c>
      <x:c r="C24" s="14" t="str">
        <x:v>MLOps/LLMOps pipeline setup</x:v>
      </x:c>
      <x:c r="D24" s="14" t="str">
        <x:v>AI SDLC; Build também menciona MLOps platforms.</x:v>
      </x:c>
      <x:c r="E24" s="14" t="str"/>
      <x:c r="F24" s="14" t="str">
        <x:v>platform, pipeline stages, CI/CD, artifact/model/prompt versioning, environment promotion, approval e rollback.</x:v>
      </x:c>
      <x:c r="G24" s="14" t="str">
        <x:v>PROPOSED — LLMOps/MLOps Delivery Pipeline Blueprint, inicialmente technology-neutral.</x:v>
      </x:c>
      <x:c r="H24" s="14" t="str">
        <x:v>platform e pipeline standards já disponíveis.</x:v>
      </x:c>
      <x:c r="I24" s="14" t="str">
        <x:v>High</x:v>
      </x:c>
      <x:c r="J24" s="14" t="str">
        <x:v>Technical</x:v>
      </x:c>
      <x:c r="K24" s="14" t="str">
        <x:v>TO VALIDATE WITH AI LABS</x:v>
      </x:c>
      <x:c r="L24" s="14" t="str"/>
      <x:c r="M24" s="14" t="str">
        <x:v>AgilityAI - ABCs 2.pdf; Phase 1 Gap Assessment</x:v>
      </x:c>
      <x:c r="N24" s="14" t="str">
        <x:v>AI Labs reports Build advanced; tools/accelerators exist; inventory pending</x:v>
      </x:c>
      <x:c r="O24" s="14" t="str">
        <x:v>2026-08-14: Brian directly reported that Build is 'very advanced' and that AI Labs has tools and accelerators to assist. Existing assets must be inventoried/reviewed before Brazil creates equivalent Build artifacts. Exact asset catalog, access path, maturity per activity and documentation are still pending. 2026-08-13: Platform/pipeline standards may need to account for cloud portability; exact Azure Foundry role and AI Labs standards remain pending.</x:v>
      </x:c>
    </x:row>
    <x:row r="25" ht="72" customHeight="1">
      <x:c r="A25" s="14" t="str">
        <x:v>B8</x:v>
      </x:c>
      <x:c r="B25" s="14" t="str">
        <x:v>Build</x:v>
      </x:c>
      <x:c r="C25" s="14" t="str">
        <x:v>Reusable frameworks / components / LLM wrappers / pre-built pipelines</x:v>
      </x:c>
      <x:c r="D25" s="14" t="str">
        <x:v>são parte de Agentic AI Accelerators &amp; Reusable Frameworks.</x:v>
      </x:c>
      <x:c r="E25" s="14" t="str"/>
      <x:c r="F25" s="14" t="str">
        <x:v>catálogo; interfaces; maturity; documentation; supported use cases; licensing/internal access; reuse criteria.</x:v>
      </x:c>
      <x:c r="G25" s="14" t="str">
        <x:v>criar um Accelerator Inventory &amp; Fit Assessment, não duplicar componentes antes de verificar o catálogo existente.</x:v>
      </x:c>
      <x:c r="H25" s="14" t="str">
        <x:v>obter catálogo, documentation e maturity/status dos assets.</x:v>
      </x:c>
      <x:c r="I25" s="14" t="str">
        <x:v>Critical</x:v>
      </x:c>
      <x:c r="J25" s="14" t="str">
        <x:v>Technical</x:v>
      </x:c>
      <x:c r="K25" s="14" t="str">
        <x:v>TO VALIDATE WITH AI LABS</x:v>
      </x:c>
      <x:c r="L25" s="14" t="str"/>
      <x:c r="M25" s="14" t="str">
        <x:v>AgilityAI - ABCs 2.pdf; Phase 1 Gap Assessment</x:v>
      </x:c>
      <x:c r="N25" s="14" t="str">
        <x:v>AI Labs reports Build advanced; tools/accelerators exist; inventory pending</x:v>
      </x:c>
      <x:c r="O25" s="14" t="str">
        <x:v>2026-08-14: Brian directly reported that Build is 'very advanced' and that AI Labs has tools and accelerators to assist. Existing assets must be inventoried/reviewed before Brazil creates equivalent Build artifacts. Exact asset catalog, access path, maturity per activity and documentation are still pending.</x:v>
      </x:c>
    </x:row>
    <x:row r="26" ht="72" customHeight="1">
      <x:c r="A26" s="14" t="str">
        <x:v>B9</x:v>
      </x:c>
      <x:c r="B26" s="14" t="str">
        <x:v>Build</x:v>
      </x:c>
      <x:c r="C26" s="14" t="str">
        <x:v>Agentic AI accelerators / Domain Agent Accelerators</x:v>
      </x:c>
      <x:c r="D26" s="14" t="str">
        <x:v>reusable/agentic accelerators e “pre-built, industry-tuned AI agents”.</x:v>
      </x:c>
      <x:c r="E26" s="14" t="str"/>
      <x:c r="F26" s="14" t="str">
        <x:v>arquitetura; source/access; requirements; maturity; production references; configuration/customization model; selection criteria.</x:v>
      </x:c>
      <x:c r="G26" s="14" t="str">
        <x:v>analisar cada accelerator contra os processos Brasil, mas não assumir seu uso apenas porque aparece na apresentação.</x:v>
      </x:c>
      <x:c r="H26" s="14" t="str">
        <x:v>quais estão realmente disponíveis, supported, reusable e indicados para o programa Brasil.</x:v>
      </x:c>
      <x:c r="I26" s="14" t="str">
        <x:v>High</x:v>
      </x:c>
      <x:c r="J26" s="14" t="str">
        <x:v>Technical</x:v>
      </x:c>
      <x:c r="K26" s="14" t="str">
        <x:v>TO VALIDATE WITH AI LABS</x:v>
      </x:c>
      <x:c r="L26" s="14" t="str"/>
      <x:c r="M26" s="14" t="str">
        <x:v>AgilityAI - ABCs 2.pdf; Phase 1 Gap Assessment</x:v>
      </x:c>
      <x:c r="N26" s="14" t="str">
        <x:v>AI Labs reports Build advanced; tools/accelerators exist; inventory pending</x:v>
      </x:c>
      <x:c r="O26" s="14" t="str">
        <x:v>2026-08-14: Brian directly reported that Build is 'very advanced' and that AI Labs has tools and accelerators to assist. Existing assets must be inventoried/reviewed before Brazil creates equivalent Build artifacts. Exact asset catalog, access path, maturity per activity and documentation are still pending.</x:v>
      </x:c>
    </x:row>
    <x:row r="27" ht="72" customHeight="1">
      <x:c r="A27" s="14" t="str">
        <x:v>B10</x:v>
      </x:c>
      <x:c r="B27" s="14" t="str">
        <x:v>Build</x:v>
      </x:c>
      <x:c r="C27" s="14" t="str">
        <x:v>Embedded engineers / FDEs</x:v>
      </x:c>
      <x:c r="D27" s="14" t="str">
        <x:v>“Embedded engineers (FDEs)” em Scalable Forward Deployments.</x:v>
      </x:c>
      <x:c r="E27" s="14" t="str"/>
      <x:c r="F27" s="14" t="str">
        <x:v>papel do FDE; engagement model; responsabilidades; quando aplicar; relação com Delivery/AI Labs/customer.</x:v>
      </x:c>
      <x:c r="G27" s="14" t="str">
        <x:v>nenhum modelo específico até esclarecimento.</x:v>
      </x:c>
      <x:c r="H27" s="14" t="str">
        <x:v>definição operacional do papel e se faz parte da futura metodologia comercial brasileira.</x:v>
      </x:c>
      <x:c r="I27" s="14" t="str">
        <x:v>Medium</x:v>
      </x:c>
      <x:c r="J27" s="14" t="str">
        <x:v>Business/Methodology</x:v>
      </x:c>
      <x:c r="K27" s="14" t="str">
        <x:v>TO VALIDATE WITH AI LABS</x:v>
      </x:c>
      <x:c r="L27" s="14" t="str"/>
      <x:c r="M27" s="14" t="str">
        <x:v>AgilityAI - ABCs 2.pdf; Phase 1 Gap Assessment</x:v>
      </x:c>
      <x:c r="N27" s="14" t="str">
        <x:v>AI Labs reports Build advanced; tools/accelerators exist; inventory pending</x:v>
      </x:c>
      <x:c r="O27" s="14" t="str">
        <x:v>2026-08-14: Brian directly reported that Build is 'very advanced' and that AI Labs has tools and accelerators to assist. Existing assets must be inventoried/reviewed before Brazil creates equivalent Build artifacts. Exact asset catalog, access path, maturity per activity and documentation are still pending.</x:v>
      </x:c>
    </x:row>
    <x:row r="28" ht="72" customHeight="1">
      <x:c r="A28" s="14" t="str">
        <x:v>B11</x:v>
      </x:c>
      <x:c r="B28" s="14" t="str">
        <x:v>Build</x:v>
      </x:c>
      <x:c r="C28" s="14" t="str">
        <x:v>SDLC accelerators</x:v>
      </x:c>
      <x:c r="D28" s="14" t="str"/>
      <x:c r="E28" s="14" t="str"/>
      <x:c r="F28" s="14" t="str">
        <x:v>quais assets específicos compõem cada categoria; como acessá-los; eligibility; maturity e ownership.</x:v>
      </x:c>
      <x:c r="G28" s="14" t="str">
        <x:v>criar inventário cruzando SDLC stage → existing accelerator → evidence → owner → applicability Brasil → gap.</x:v>
      </x:c>
      <x:c r="H28" s="14" t="str">
        <x:v>catálogo oficial completo de accelerators do AI Labs.</x:v>
      </x:c>
      <x:c r="I28" s="14" t="str">
        <x:v>High</x:v>
      </x:c>
      <x:c r="J28" s="14" t="str">
        <x:v>Technical</x:v>
      </x:c>
      <x:c r="K28" s="14" t="str">
        <x:v>TO VALIDATE WITH AI LABS</x:v>
      </x:c>
      <x:c r="L28" s="14" t="str"/>
      <x:c r="M28" s="14" t="str">
        <x:v>AgilityAI - ABCs 2.pdf; Phase 1 Gap Assessment</x:v>
      </x:c>
      <x:c r="N28" s="14" t="str">
        <x:v>AI Labs reports Build advanced; tools/accelerators exist; inventory pending</x:v>
      </x:c>
      <x:c r="O28" s="14" t="str">
        <x:v>2026-08-14: Brian directly reported that Build is 'very advanced' and that AI Labs has tools and accelerators to assist. Existing assets must be inventoried/reviewed before Brazil creates equivalent Build artifacts. Exact asset catalog, access path, maturity per activity and documentation are still pending.</x:v>
      </x:c>
    </x:row>
    <x:row r="29" ht="72" customHeight="1">
      <x:c r="A29" s="14" t="str">
        <x:v>C1</x:v>
      </x:c>
      <x:c r="B29" s="14" t="str">
        <x:v>Control</x:v>
      </x:c>
      <x:c r="C29" s="14" t="str">
        <x:v>Policy &amp; regulatory compliance</x:v>
      </x:c>
      <x:c r="D29" s="14" t="str">
        <x:v>AI Governance. Control também afirma que governance e industry-specific regulatory controls devem estar presentes “from the start”.</x:v>
      </x:c>
      <x:c r="E29" s="14" t="str"/>
      <x:c r="F29" s="14" t="str">
        <x:v>regulatory inventory; applicability process; evidence; control catalog; compliance gates.</x:v>
      </x:c>
      <x:c r="G29" s="14" t="str">
        <x:v>PROPOSED — AI Compliance Requirements Register, aplicável por use case/jurisdiction.</x:v>
      </x:c>
      <x:c r="H29" s="14" t="str">
        <x:v>global policy baseline e compliance/control library existentes.</x:v>
      </x:c>
      <x:c r="I29" s="14" t="str">
        <x:v>Medium</x:v>
      </x:c>
      <x:c r="J29" s="14" t="str">
        <x:v>Business/Methodology</x:v>
      </x:c>
      <x:c r="K29" s="14" t="str">
        <x:v>TO VALIDATE WITH AI LABS</x:v>
      </x:c>
      <x:c r="L29" s="14" t="str"/>
      <x:c r="M29" s="14" t="str">
        <x:v>AgilityAI - ABCs 2.pdf; Phase 1 Gap Assessment</x:v>
      </x:c>
      <x:c r="N29" s="14" t="str">
        <x:v>Not found in current knowledge base</x:v>
      </x:c>
      <x:c r="O29" s="14" t="str"/>
    </x:row>
    <x:row r="30" ht="72" customHeight="1">
      <x:c r="A30" s="14" t="str">
        <x:v>C2</x:v>
      </x:c>
      <x:c r="B30" s="14" t="str">
        <x:v>Control</x:v>
      </x:c>
      <x:c r="C30" s="14" t="str">
        <x:v>AI Centers of Excellence</x:v>
      </x:c>
      <x:c r="D30" s="14" t="str">
        <x:v>componente de AI Governance; Align inclui AI CoE establishment em Activate &amp; Scale.</x:v>
      </x:c>
      <x:c r="E30" s="14" t="str">
        <x:v>CoE relacionado a governance artifacts, risk/compliance, data quality, monitoring/incident response, oversight/access/training, coordination e feedback loops.</x:v>
      </x:c>
      <x:c r="F30" s="14" t="str">
        <x:v>charter do CoE; membership; authority; operating cadence; RACI; decision rights; artifacts.</x:v>
      </x:c>
      <x:c r="G30" s="14" t="str">
        <x:v>PROPOSED — Brazil AI CoE Operating Charter após determinar quais estruturas já existem.</x:v>
      </x:c>
      <x:c r="H30" s="14" t="str">
        <x:v>se existe global AI CoE model reutilizável e qual relação organizacional é esperada com Brasil.</x:v>
      </x:c>
      <x:c r="I30" s="14" t="str">
        <x:v>Medium</x:v>
      </x:c>
      <x:c r="J30" s="14" t="str">
        <x:v>Business/Methodology</x:v>
      </x:c>
      <x:c r="K30" s="14" t="str">
        <x:v>TO VALIDATE WITH AI LABS</x:v>
      </x:c>
      <x:c r="L30" s="14" t="str"/>
      <x:c r="M30" s="14" t="str">
        <x:v>AgilityAI - ABCs 2.pdf; Phase 1 Gap Assessment</x:v>
      </x:c>
      <x:c r="N30" s="14" t="str">
        <x:v>Not found in current knowledge base</x:v>
      </x:c>
      <x:c r="O30" s="14" t="str"/>
    </x:row>
    <x:row r="31" ht="72" customHeight="1">
      <x:c r="A31" s="14" t="str">
        <x:v>C3</x:v>
      </x:c>
      <x:c r="B31" s="14" t="str">
        <x:v>Control</x:v>
      </x:c>
      <x:c r="C31" s="14" t="str">
        <x:v>Human-in-the-loop design</x:v>
      </x:c>
      <x:c r="D31" s="14" t="str">
        <x:v>AI Governance; o maturity model também diferencia Human does / approves / monitors / governs conforme evolução.</x:v>
      </x:c>
      <x:c r="E31" s="14" t="str"/>
      <x:c r="F31" s="14" t="str">
        <x:v>quando HITL é obrigatório; approval points; escalation; confidence threshold; authority; audit trail.</x:v>
      </x:c>
      <x:c r="G31" s="14" t="str">
        <x:v>PROPOSED — Human Oversight Matrix por use case, associando decisão/risco → automation level → human role → escalation → logging.</x:v>
      </x:c>
      <x:c r="H31" s="14" t="str">
        <x:v>HITL policy e thresholds já existentes.</x:v>
      </x:c>
      <x:c r="I31" s="14" t="str">
        <x:v>Medium</x:v>
      </x:c>
      <x:c r="J31" s="14" t="str">
        <x:v>Technical</x:v>
      </x:c>
      <x:c r="K31" s="14" t="str">
        <x:v>TO VALIDATE WITH AI LABS</x:v>
      </x:c>
      <x:c r="L31" s="14" t="str"/>
      <x:c r="M31" s="14" t="str">
        <x:v>AgilityAI - ABCs 2.pdf; Phase 1 Gap Assessment</x:v>
      </x:c>
      <x:c r="N31" s="14" t="str">
        <x:v>Not found in current knowledge base</x:v>
      </x:c>
      <x:c r="O31" s="14" t="str"/>
    </x:row>
    <x:row r="32" ht="72" customHeight="1">
      <x:c r="A32" s="14" t="str">
        <x:v>C4</x:v>
      </x:c>
      <x:c r="B32" s="14" t="str">
        <x:v>Control</x:v>
      </x:c>
      <x:c r="C32" s="14" t="str">
        <x:v>Model risk tiering &amp; regulatory mapping</x:v>
      </x:c>
      <x:c r="D32" s="14" t="str">
        <x:v>responsabilidade de AI Risk &amp; Compliance, Tier 2.</x:v>
      </x:c>
      <x:c r="E32" s="14" t="str"/>
      <x:c r="F32" s="14" t="str">
        <x:v>número de tiers; criteria; risk factors; controls por tier; regulatory taxonomy.</x:v>
      </x:c>
      <x:c r="G32" s="14" t="str">
        <x:v>não inventar tiers. Criar apenas estrutura placeholder até receber/validar metodologia.</x:v>
      </x:c>
      <x:c r="H32" s="14" t="str">
        <x:v>obter model risk classification/tiering model.</x:v>
      </x:c>
      <x:c r="I32" s="14" t="str">
        <x:v>Critical</x:v>
      </x:c>
      <x:c r="J32" s="14" t="str">
        <x:v>Technical</x:v>
      </x:c>
      <x:c r="K32" s="14" t="str">
        <x:v>TO VALIDATE WITH AI LABS</x:v>
      </x:c>
      <x:c r="L32" s="14" t="str"/>
      <x:c r="M32" s="14" t="str">
        <x:v>AgilityAI - ABCs 2.pdf; Phase 1 Gap Assessment</x:v>
      </x:c>
      <x:c r="N32" s="14" t="str">
        <x:v>Not found in current knowledge base</x:v>
      </x:c>
      <x:c r="O32" s="14" t="str"/>
    </x:row>
    <x:row r="33" ht="72" customHeight="1">
      <x:c r="A33" s="14" t="str">
        <x:v>C5</x:v>
      </x:c>
      <x:c r="B33" s="14" t="str">
        <x:v>Control</x:v>
      </x:c>
      <x:c r="C33" s="14" t="str">
        <x:v>Architecture &amp; Standards</x:v>
      </x:c>
      <x:c r="D33" s="14" t="str">
        <x:v>Tier 2 traduzido como “Reference architectures &amp; design patterns”.</x:v>
      </x:c>
      <x:c r="E33" s="14" t="str"/>
      <x:c r="F33" s="14" t="str">
        <x:v>os reference architectures e patterns não estão presentes na base atual.</x:v>
      </x:c>
      <x:c r="G33" s="14" t="str">
        <x:v>fazer inventário antes de produzir arquitetura brasileira.</x:v>
      </x:c>
      <x:c r="H33" s="14" t="str">
        <x:v>solicitar os assets referenciados explicitamente pela apresentação.</x:v>
      </x:c>
      <x:c r="I33" s="14" t="str">
        <x:v>Critical</x:v>
      </x:c>
      <x:c r="J33" s="14" t="str">
        <x:v>Technical</x:v>
      </x:c>
      <x:c r="K33" s="14" t="str">
        <x:v>TO VALIDATE WITH AI LABS</x:v>
      </x:c>
      <x:c r="L33" s="14" t="str"/>
      <x:c r="M33" s="14" t="str">
        <x:v>AgilityAI - ABCs 2.pdf; Phase 1 Gap Assessment</x:v>
      </x:c>
      <x:c r="N33" s="14" t="str">
        <x:v>Not found in current knowledge base</x:v>
      </x:c>
      <x:c r="O33" s="14" t="str">
        <x:v>2026-08-13: Reference architecture validation is especially important given reported AWS/Azure/Google replicability requirement.</x:v>
      </x:c>
    </x:row>
    <x:row r="34" ht="72" customHeight="1">
      <x:c r="A34" s="14" t="str">
        <x:v>C6</x:v>
      </x:c>
      <x:c r="B34" s="14" t="str">
        <x:v>Control</x:v>
      </x:c>
      <x:c r="C34" s="14" t="str">
        <x:v>Enablement &amp; Training</x:v>
      </x:c>
      <x:c r="D34" s="14" t="str">
        <x:v>Tier 2 cobre AI literacy, best practices e reusable assets.</x:v>
      </x:c>
      <x:c r="E34" s="14" t="str"/>
      <x:c r="F34" s="14" t="str">
        <x:v>curriculum, audiences, proficiency levels, certification, delivery format e success metrics.</x:v>
      </x:c>
      <x:c r="G34" s="14" t="str">
        <x:v>aproveitar o trabalho de Align/Change para montar training journeys posteriormente.</x:v>
      </x:c>
      <x:c r="H34" s="14" t="str">
        <x:v>materiais de AI literacy e best practices existentes.</x:v>
      </x:c>
      <x:c r="I34" s="14" t="str">
        <x:v>Medium</x:v>
      </x:c>
      <x:c r="J34" s="14" t="str">
        <x:v>Business/Methodology</x:v>
      </x:c>
      <x:c r="K34" s="14" t="str">
        <x:v>TO VALIDATE WITH AI LABS</x:v>
      </x:c>
      <x:c r="L34" s="14" t="str"/>
      <x:c r="M34" s="14" t="str">
        <x:v>AgilityAI - ABCs 2.pdf; Phase 1 Gap Assessment</x:v>
      </x:c>
      <x:c r="N34" s="14" t="str">
        <x:v>Not found in current knowledge base</x:v>
      </x:c>
      <x:c r="O34" s="14" t="str"/>
    </x:row>
    <x:row r="35" ht="72" customHeight="1">
      <x:c r="A35" s="14" t="str">
        <x:v>C7</x:v>
      </x:c>
      <x:c r="B35" s="14" t="str">
        <x:v>Control</x:v>
      </x:c>
      <x:c r="C35" s="14" t="str">
        <x:v>Model Development governance</x:v>
      </x:c>
      <x:c r="D35" s="14" t="str">
        <x:v>Tier 3: “Build, train, &amp; validate to standards”.</x:v>
      </x:c>
      <x:c r="E35" s="14" t="str"/>
      <x:c r="F35" s="14" t="str">
        <x:v>quais standards; artefatos de model/agent documentation; review gates; validation evidence.</x:v>
      </x:c>
      <x:c r="G35" s="14" t="str">
        <x:v>estabelecer development/evaluation evidence pack por solução somente após alinhar standards.</x:v>
      </x:c>
      <x:c r="H35" s="14" t="str">
        <x:v>standards citados no framework.</x:v>
      </x:c>
      <x:c r="I35" s="14" t="str">
        <x:v>High</x:v>
      </x:c>
      <x:c r="J35" s="14" t="str">
        <x:v>Technical</x:v>
      </x:c>
      <x:c r="K35" s="14" t="str">
        <x:v>TO VALIDATE WITH AI LABS</x:v>
      </x:c>
      <x:c r="L35" s="14" t="str"/>
      <x:c r="M35" s="14" t="str">
        <x:v>AgilityAI - ABCs 2.pdf; Phase 1 Gap Assessment</x:v>
      </x:c>
      <x:c r="N35" s="14" t="str">
        <x:v>Not found in current knowledge base</x:v>
      </x:c>
      <x:c r="O35" s="14" t="str"/>
    </x:row>
    <x:row r="36" ht="72" customHeight="1">
      <x:c r="A36" s="14" t="str">
        <x:v>C8</x:v>
      </x:c>
      <x:c r="B36" s="14" t="str">
        <x:v>Control</x:v>
      </x:c>
      <x:c r="C36" s="14" t="str">
        <x:v>Model monitoring &amp; AI FinOps</x:v>
      </x:c>
      <x:c r="D36" s="14" t="str">
        <x:v>AI Operations. Tier 3 também atribui a MLOps &amp; Platform “Deploy, monitor, &amp; maintain”.</x:v>
      </x:c>
      <x:c r="E36" s="14" t="str"/>
      <x:c r="F36" s="14" t="str">
        <x:v>metrics; telemetry; thresholds; alerts; SLO/SLA; cost dimensions; dashboards; ownership.</x:v>
      </x:c>
      <x:c r="G36" s="14" t="str">
        <x:v>PROPOSED — AI Operational Monitoring Plan, por solução, cobrindo reliability, AI quality, usage, latency, cost e incidents conforme aplicável.</x:v>
      </x:c>
      <x:c r="H36" s="14" t="str">
        <x:v>standard observability stack, metrics e FinOps methodology.</x:v>
      </x:c>
      <x:c r="I36" s="14" t="str">
        <x:v>High</x:v>
      </x:c>
      <x:c r="J36" s="14" t="str">
        <x:v>Technical</x:v>
      </x:c>
      <x:c r="K36" s="14" t="str">
        <x:v>TO VALIDATE WITH AI LABS</x:v>
      </x:c>
      <x:c r="L36" s="14" t="str"/>
      <x:c r="M36" s="14" t="str">
        <x:v>AgilityAI - ABCs 2.pdf; Phase 1 Gap Assessment</x:v>
      </x:c>
      <x:c r="N36" s="14" t="str">
        <x:v>Not found in current knowledge base</x:v>
      </x:c>
      <x:c r="O36" s="14" t="str"/>
    </x:row>
    <x:row r="37" ht="72" customHeight="1">
      <x:c r="A37" s="14" t="str">
        <x:v>C9</x:v>
      </x:c>
      <x:c r="B37" s="14" t="str">
        <x:v>Control</x:v>
      </x:c>
      <x:c r="C37" s="14" t="str">
        <x:v>Retraining pipelines &amp; prompt management</x:v>
      </x:c>
      <x:c r="D37" s="14" t="str">
        <x:v>AI Operations.</x:v>
      </x:c>
      <x:c r="E37" s="14" t="str"/>
      <x:c r="F37" s="14" t="str">
        <x:v>retraining triggers; prompt registry; versioning; approval; testing; promotion; rollback.</x:v>
      </x:c>
      <x:c r="G37" s="14" t="str">
        <x:v>incluir prompt/model/version lifecycle no LLMOps blueprint.</x:v>
      </x:c>
      <x:c r="H37" s="14" t="str">
        <x:v>PromptRouter® ou outras ferramentas fornecem parte dessa função? Quais practices são padrão?</x:v>
      </x:c>
      <x:c r="I37" s="14" t="str">
        <x:v>High</x:v>
      </x:c>
      <x:c r="J37" s="14" t="str">
        <x:v>Technical</x:v>
      </x:c>
      <x:c r="K37" s="14" t="str">
        <x:v>TO VALIDATE WITH AI LABS</x:v>
      </x:c>
      <x:c r="L37" s="14" t="str"/>
      <x:c r="M37" s="14" t="str">
        <x:v>AgilityAI - ABCs 2.pdf; Phase 1 Gap Assessment</x:v>
      </x:c>
      <x:c r="N37" s="14" t="str">
        <x:v>Not found in current knowledge base</x:v>
      </x:c>
      <x:c r="O37" s="14" t="str"/>
    </x:row>
    <x:row r="38" ht="72" customHeight="1">
      <x:c r="A38" s="14" t="str">
        <x:v>C10</x:v>
      </x:c>
      <x:c r="B38" s="14" t="str">
        <x:v>Control</x:v>
      </x:c>
      <x:c r="C38" s="14" t="str">
        <x:v>Incident response &amp; rollback</x:v>
      </x:c>
      <x:c r="D38" s="14" t="str">
        <x:v>AI Operations e novamente como categoria de accelerator no SDLC. O CoE também é associado a monitoring and incident response.</x:v>
      </x:c>
      <x:c r="E38" s="14" t="str"/>
      <x:c r="F38" s="14" t="str">
        <x:v>severity classification; detection; on-call/escalation; containment; kill switch; rollback criteria; postmortem.</x:v>
      </x:c>
      <x:c r="G38" s="14" t="str">
        <x:v>adaptar o incident lifecycle existente da organização para AI-specific failure modes em vez de criar processo isolado do zero.</x:v>
      </x:c>
      <x:c r="H38" s="14" t="str">
        <x:v>incident/rollback accelerators e AI-specific playbook existentes.</x:v>
      </x:c>
      <x:c r="I38" s="14" t="str">
        <x:v>High</x:v>
      </x:c>
      <x:c r="J38" s="14" t="str">
        <x:v>Technical</x:v>
      </x:c>
      <x:c r="K38" s="14" t="str">
        <x:v>TO VALIDATE WITH AI LABS</x:v>
      </x:c>
      <x:c r="L38" s="14" t="str"/>
      <x:c r="M38" s="14" t="str">
        <x:v>AgilityAI - ABCs 2.pdf; Phase 1 Gap Assessment</x:v>
      </x:c>
      <x:c r="N38" s="14" t="str">
        <x:v>Not found in current knowledge base</x:v>
      </x:c>
      <x:c r="O38" s="14" t="str"/>
    </x:row>
    <x:row r="39" ht="72" customHeight="1">
      <x:c r="A39" s="14" t="str">
        <x:v>C11</x:v>
      </x:c>
      <x:c r="B39" s="14" t="str">
        <x:v>Control</x:v>
      </x:c>
      <x:c r="C39" s="14" t="str">
        <x:v>Ongoing evaluation, confidence scoring &amp; benchmarking</x:v>
      </x:c>
      <x:c r="D39" s="14" t="str">
        <x:v>AI Assurance.</x:v>
      </x:c>
      <x:c r="E39" s="14" t="str"/>
      <x:c r="F39" s="14" t="str">
        <x:v>metrics; confidence definition; thresholds; evaluation frequency; reference datasets; benchmark selection; actions upon degradation.</x:v>
      </x:c>
      <x:c r="G39" s="14" t="str">
        <x:v>conectar produção ao Evaluation Plan desenvolvido em Build, mantendo regressão contínua.</x:v>
      </x:c>
      <x:c r="H39" s="14" t="str">
        <x:v>definição de “confidence scoring” no AgilityAI e evaluation/benchmark methodology.</x:v>
      </x:c>
      <x:c r="I39" s="14" t="str">
        <x:v>Critical</x:v>
      </x:c>
      <x:c r="J39" s="14" t="str">
        <x:v>Technical</x:v>
      </x:c>
      <x:c r="K39" s="14" t="str">
        <x:v>TO VALIDATE WITH AI LABS</x:v>
      </x:c>
      <x:c r="L39" s="14" t="str"/>
      <x:c r="M39" s="14" t="str">
        <x:v>AgilityAI - ABCs 2.pdf; Phase 1 Gap Assessment</x:v>
      </x:c>
      <x:c r="N39" s="14" t="str">
        <x:v>Not found in current knowledge base</x:v>
      </x:c>
      <x:c r="O39" s="14" t="str"/>
    </x:row>
    <x:row r="40" ht="72" customHeight="1">
      <x:c r="A40" s="14" t="str">
        <x:v>C12</x:v>
      </x:c>
      <x:c r="B40" s="14" t="str">
        <x:v>Control</x:v>
      </x:c>
      <x:c r="C40" s="14" t="str">
        <x:v>Bias and fairness audits</x:v>
      </x:c>
      <x:c r="D40" s="14" t="str">
        <x:v>AI Assurance.</x:v>
      </x:c>
      <x:c r="E40" s="14" t="str"/>
      <x:c r="F40" s="14" t="str">
        <x:v>applicability, protected dimensions, metrics, datasets, frequency, thresholds, remediation.</x:v>
      </x:c>
      <x:c r="G40" s="14" t="str">
        <x:v>risk-based applicability assessment antes de exigir a mesma auditoria para todo caso de uso.</x:v>
      </x:c>
      <x:c r="H40" s="14" t="str">
        <x:v>fairness methodology e quais soluções/use cases exigem formalmente esse controle.</x:v>
      </x:c>
      <x:c r="I40" s="14" t="str">
        <x:v>Medium</x:v>
      </x:c>
      <x:c r="J40" s="14" t="str">
        <x:v>Business/Methodology</x:v>
      </x:c>
      <x:c r="K40" s="14" t="str">
        <x:v>TO VALIDATE WITH AI LABS</x:v>
      </x:c>
      <x:c r="L40" s="14" t="str"/>
      <x:c r="M40" s="14" t="str">
        <x:v>AgilityAI - ABCs 2.pdf; Phase 1 Gap Assessment</x:v>
      </x:c>
      <x:c r="N40" s="14" t="str">
        <x:v>Not found in current knowledge base</x:v>
      </x:c>
      <x:c r="O40" s="14" t="str"/>
    </x:row>
    <x:row r="41" ht="72" customHeight="1">
      <x:c r="A41" s="14" t="str">
        <x:v>C13</x:v>
      </x:c>
      <x:c r="B41" s="14" t="str">
        <x:v>Control</x:v>
      </x:c>
      <x:c r="C41" s="14" t="str">
        <x:v>Observability &amp; explainability</x:v>
      </x:c>
      <x:c r="D41" s="14" t="str">
        <x:v>AI Assurance.</x:v>
      </x:c>
      <x:c r="E41" s="14" t="str"/>
      <x:c r="F41" s="14" t="str">
        <x:v>definição operacional de observability; required traces/logs; explainability techniques; retention; user-facing versus audit-facing explanation.</x:v>
      </x:c>
      <x:c r="G41" s="14" t="str">
        <x:v>estabelecer requirements por risk/use case e incorporar no architecture/design, não somente após deployment.</x:v>
      </x:c>
      <x:c r="H41" s="14" t="str">
        <x:v>observability platform/patterns e minimum telemetry requirements.</x:v>
      </x:c>
      <x:c r="I41" s="14" t="str">
        <x:v>High</x:v>
      </x:c>
      <x:c r="J41" s="14" t="str">
        <x:v>Technical</x:v>
      </x:c>
      <x:c r="K41" s="14" t="str">
        <x:v>TO VALIDATE WITH AI LABS</x:v>
      </x:c>
      <x:c r="L41" s="14" t="str"/>
      <x:c r="M41" s="14" t="str">
        <x:v>AgilityAI - ABCs 2.pdf; Phase 1 Gap Assessment</x:v>
      </x:c>
      <x:c r="N41" s="14" t="str">
        <x:v>Not found in current knowledge base</x:v>
      </x:c>
      <x:c r="O41" s="14" t="str"/>
    </x:row>
    <x:row r="42" ht="72" customHeight="1">
      <x:c r="A42" s="14" t="str">
        <x:v>C14</x:v>
      </x:c>
      <x:c r="B42" s="14" t="str">
        <x:v>Control</x:v>
      </x:c>
      <x:c r="C42" s="14" t="str">
        <x:v>Strategic Governance — AI Ethics Committee</x:v>
      </x:c>
      <x:c r="D42" s="14" t="str">
        <x:v>responsável por “Responsible use oversight &amp; escalation”.</x:v>
      </x:c>
      <x:c r="E42" s="14" t="str"/>
      <x:c r="F42" s="14" t="str">
        <x:v>composition, authority, escalation criteria, cadence e decision artifacts.</x:v>
      </x:c>
      <x:c r="G42" s="14" t="str">
        <x:v>mapear primeiro as estruturas organizacionais existentes no Brasil/global antes de propor novo committee.</x:v>
      </x:c>
      <x:c r="H42" s="14" t="str">
        <x:v>se representa uma estrutura efetivamente existente, uma target operating model ou um modelo de referência para clientes.</x:v>
      </x:c>
      <x:c r="I42" s="14" t="str">
        <x:v>Medium</x:v>
      </x:c>
      <x:c r="J42" s="14" t="str">
        <x:v>Business/Methodology</x:v>
      </x:c>
      <x:c r="K42" s="14" t="str">
        <x:v>TO VALIDATE WITH AI LABS</x:v>
      </x:c>
      <x:c r="L42" s="14" t="str"/>
      <x:c r="M42" s="14" t="str">
        <x:v>AgilityAI - ABCs 2.pdf; Phase 1 Gap Assessment</x:v>
      </x:c>
      <x:c r="N42" s="14" t="str">
        <x:v>Not found in current knowledge base</x:v>
      </x:c>
      <x:c r="O42" s="14" t="str"/>
    </x:row>
    <x:row r="43" ht="72" customHeight="1">
      <x:c r="A43" s="14" t="str">
        <x:v>C15</x:v>
      </x:c>
      <x:c r="B43" s="14" t="str">
        <x:v>Control</x:v>
      </x:c>
      <x:c r="C43" s="14" t="str">
        <x:v>Strategic Governance — Executive AI Council</x:v>
      </x:c>
      <x:c r="D43" s="14" t="str">
        <x:v>“Investment &amp; portfolio alignment”.</x:v>
      </x:c>
      <x:c r="E43" s="14" t="str"/>
      <x:c r="F43" s="14" t="str">
        <x:v>membership; thresholds; decision rights; portfolio review process.</x:v>
      </x:c>
      <x:c r="G43" s="14" t="str">
        <x:v>mapear a função às estruturas executivas existentes antes de criar novo fórum.</x:v>
      </x:c>
      <x:c r="H43" s="14" t="str">
        <x:v>mesma questão — organização obrigatória, recomendada ou illustrative?</x:v>
      </x:c>
      <x:c r="I43" s="14" t="str">
        <x:v>Medium</x:v>
      </x:c>
      <x:c r="J43" s="14" t="str">
        <x:v>Business/Methodology</x:v>
      </x:c>
      <x:c r="K43" s="14" t="str">
        <x:v>TO VALIDATE WITH AI LABS</x:v>
      </x:c>
      <x:c r="L43" s="14" t="str"/>
      <x:c r="M43" s="14" t="str">
        <x:v>AgilityAI - ABCs 2.pdf; Phase 1 Gap Assessment</x:v>
      </x:c>
      <x:c r="N43" s="14" t="str">
        <x:v>Not found in current knowledge base</x:v>
      </x:c>
      <x:c r="O43" s="14" t="str"/>
    </x:row>
    <x:row r="44" ht="72" customHeight="1">
      <x:c r="A44" s="14" t="str">
        <x:v>C16</x:v>
      </x:c>
      <x:c r="B44" s="14" t="str">
        <x:v>Control</x:v>
      </x:c>
      <x:c r="C44" s="14" t="str">
        <x:v>Strategic Governance — AI Policy Authority</x:v>
      </x:c>
      <x:c r="D44" s="14" t="str">
        <x:v>“Standards &amp; regulatory positioning”.</x:v>
      </x:c>
      <x:c r="E44" s="14" t="str"/>
      <x:c r="F44" s="14" t="str">
        <x:v>mandato, owner, policies, approval/change process.</x:v>
      </x:c>
      <x:c r="G44" s="14" t="str">
        <x:v>mapear accountability existente; não criar uma nova autoridade automaticamente.</x:v>
      </x:c>
      <x:c r="H44" s="14" t="str">
        <x:v>expected operating model.</x:v>
      </x:c>
      <x:c r="I44" s="14" t="str">
        <x:v>Medium</x:v>
      </x:c>
      <x:c r="J44" s="14" t="str">
        <x:v>Business/Methodology</x:v>
      </x:c>
      <x:c r="K44" s="14" t="str">
        <x:v>TO VALIDATE WITH AI LABS</x:v>
      </x:c>
      <x:c r="L44" s="14" t="str"/>
      <x:c r="M44" s="14" t="str">
        <x:v>AgilityAI - ABCs 2.pdf; Phase 1 Gap Assessment</x:v>
      </x:c>
      <x:c r="N44" s="14" t="str">
        <x:v>Not found in current knowledge base</x:v>
      </x:c>
      <x:c r="O44" s="14" t="str"/>
    </x:row>
    <x:row r="45" ht="72" customHeight="1">
      <x:c r="A45" s="14" t="str">
        <x:v>C17</x:v>
      </x:c>
      <x:c r="B45" s="14" t="str">
        <x:v>Control</x:v>
      </x:c>
      <x:c r="C45" s="14" t="str">
        <x:v>Domain AI Leads</x:v>
      </x:c>
      <x:c r="D45" s="14" t="str">
        <x:v>Tier 3; “Business-facing AI champions”.</x:v>
      </x:c>
      <x:c r="E45" s="14" t="str"/>
      <x:c r="F45" s="14" t="str">
        <x:v>profile; assignment criteria; responsibilities; interaction with business/technical/governance teams.</x:v>
      </x:c>
      <x:c r="G45" s="14" t="str">
        <x:v>avaliar futuramente uma role mapping para os functions/use cases brasileiros.</x:v>
      </x:c>
      <x:c r="H45" s="14" t="str">
        <x:v>definição formal da função.</x:v>
      </x:c>
      <x:c r="I45" s="14" t="str">
        <x:v>Medium</x:v>
      </x:c>
      <x:c r="J45" s="14" t="str">
        <x:v>Business/Methodology</x:v>
      </x:c>
      <x:c r="K45" s="14" t="str">
        <x:v>TO VALIDATE WITH AI LABS</x:v>
      </x:c>
      <x:c r="L45" s="14" t="str"/>
      <x:c r="M45" s="14" t="str">
        <x:v>AgilityAI - ABCs 2.pdf; Phase 1 Gap Assessment</x:v>
      </x:c>
      <x:c r="N45" s="14" t="str">
        <x:v>Not found in current knowledge base</x:v>
      </x:c>
      <x:c r="O45" s="14" t="str"/>
    </x:row>
  </x:sheetData>
  <x:conditionalFormatting sqref="I2:I45">
    <x:cfRule type="expression" dxfId="0" priority="1">
      <x:formula>I2="Critical"</x:formula>
    </x:cfRule>
    <x:cfRule type="expression" dxfId="1" priority="2">
      <x:formula>I2="High"</x:formula>
    </x:cfRule>
  </x:conditionalFormatting>
  <x:conditionalFormatting sqref="K2:K45">
    <x:cfRule type="expression" dxfId="2" priority="3">
      <x:formula>K2="VALIDATED"</x:formula>
    </x:cfRule>
    <x:cfRule type="expression" dxfId="3" priority="4">
      <x:formula>K2="TO VALIDATE WITH AI LABS"</x:formula>
    </x:cfRule>
  </x:conditionalFormatting>
  <x:dataValidations count="3">
    <x:dataValidation type="list" sqref="I2:I45">
      <x:formula1>"Critical,High,Medium,Low"</x:formula1>
    </x:dataValidation>
    <x:dataValidation type="list" sqref="J2:J45">
      <x:formula1>"Technical,Business/Methodology,Governance,Mixed"</x:formula1>
    </x:dataValidation>
    <x:dataValidation type="list" sqref="K2:K45">
      <x:formula1>"DEFINED,PARTIAL,NOT FOUND,TO VALIDATE WITH AI LABS,BRAZIL TO PROPOSE,BRAZIL TO BUILD,VALIDATED"</x:formula1>
    </x:dataValidation>
  </x:dataValidations>
  <x:pageMargins left="0.7" right="0.7" top="0.75" bottom="0.75" header="0.3" footer="0.3"/>
  <x:tableParts count="1">
    <x:tablePart xmlns:r="http://schemas.openxmlformats.org/officeDocument/2006/relationships" r:id="Ra38c1a25c5c24649"/>
  </x:tableParts>
</x:worksheet>
</file>

<file path=xl/worksheets/sheet3.xml><?xml version="1.0" encoding="utf-8"?>
<x:worksheet xmlns:x="http://schemas.openxmlformats.org/spreadsheetml/2006/main">
  <x:sheetFormatPr defaultRowHeight="15"/>
  <x:cols>
    <x:col min="1" max="1" width="6" hidden="0" customWidth="1"/>
    <x:col min="2" max="2" width="40" hidden="0" customWidth="1"/>
    <x:col min="3" max="3" width="18" hidden="0" customWidth="1"/>
    <x:col min="4" max="4" width="24" hidden="0" customWidth="1"/>
    <x:col min="5" max="5" width="55" hidden="0" customWidth="1"/>
    <x:col min="6" max="6" width="12" hidden="0" customWidth="1"/>
    <x:col min="7" max="7" width="25" hidden="0" customWidth="1"/>
    <x:col min="8" max="8" width="24" hidden="0" customWidth="1"/>
    <x:col min="9" max="9" width="40" hidden="0" customWidth="1"/>
  </x:cols>
  <x:sheetData>
    <x:row r="1">
      <x:c r="A1" s="17" t="str">
        <x:v>#</x:v>
      </x:c>
      <x:c r="B1" s="17" t="str">
        <x:v>Candidate Artifact</x:v>
      </x:c>
      <x:c r="C1" s="17" t="str">
        <x:v>Related Gap IDs</x:v>
      </x:c>
      <x:c r="D1" s="17" t="str">
        <x:v>Classification</x:v>
      </x:c>
      <x:c r="E1" s="17" t="str">
        <x:v>Guardrail</x:v>
      </x:c>
      <x:c r="F1" s="17" t="str">
        <x:v>Priority</x:v>
      </x:c>
      <x:c r="G1" s="17" t="str">
        <x:v>Status</x:v>
      </x:c>
      <x:c r="H1" s="17" t="str">
        <x:v>AI Labs Existing Asset?</x:v>
      </x:c>
      <x:c r="I1" s="17" t="str">
        <x:v>Decision / Notes</x:v>
      </x:c>
    </x:row>
    <x:row r="2">
      <x:c r="A2" s="14" t="n">
        <x:v>1</x:v>
      </x:c>
      <x:c r="B2" s="14" t="str">
        <x:v>AI Maturity Assessment</x:v>
      </x:c>
      <x:c r="C2" s="14" t="str">
        <x:v>A1</x:v>
      </x:c>
      <x:c r="D2" s="14" t="str">
        <x:v>PROPOSED / Candidate</x:v>
      </x:c>
      <x:c r="E2" s="14" t="str">
        <x:v>Do not build before checking whether an equivalent AI Labs asset exists.</x:v>
      </x:c>
      <x:c r="F2" s="14" t="str">
        <x:v>Medium</x:v>
      </x:c>
      <x:c r="G2" s="14" t="str">
        <x:v>TO VALIDATE WITH AI LABS</x:v>
      </x:c>
      <x:c r="H2" s="14" t="str"/>
      <x:c r="I2" s="14" t="str"/>
    </x:row>
    <x:row r="3">
      <x:c r="A3" s="14" t="n">
        <x:v>2</x:v>
      </x:c>
      <x:c r="B3" s="14" t="str">
        <x:v>Stakeholder Discovery Workshop Guide</x:v>
      </x:c>
      <x:c r="C3" s="14" t="str">
        <x:v>A2</x:v>
      </x:c>
      <x:c r="D3" s="14" t="str">
        <x:v>PROPOSED / Candidate</x:v>
      </x:c>
      <x:c r="E3" s="14" t="str">
        <x:v>Do not build before checking whether an equivalent AI Labs asset exists.</x:v>
      </x:c>
      <x:c r="F3" s="14" t="str">
        <x:v>Medium</x:v>
      </x:c>
      <x:c r="G3" s="14" t="str">
        <x:v>TO VALIDATE WITH AI LABS</x:v>
      </x:c>
      <x:c r="H3" s="14" t="str">
        <x:v>RELATED MATERIAL REPORTED</x:v>
      </x:c>
      <x:c r="I3" s="14" t="str">
        <x:v>Brian reports initial Discovery Workshop/Align material exists. Do not build this candidate until the AI Labs material is received and compared.</x:v>
      </x:c>
    </x:row>
    <x:row r="4">
      <x:c r="A4" s="14" t="n">
        <x:v>3</x:v>
      </x:c>
      <x:c r="B4" s="14" t="str">
        <x:v>Process Inventory &amp; Discovery Template</x:v>
      </x:c>
      <x:c r="C4" s="14" t="str">
        <x:v>A10</x:v>
      </x:c>
      <x:c r="D4" s="14" t="str">
        <x:v>PROPOSED / Candidate</x:v>
      </x:c>
      <x:c r="E4" s="14" t="str">
        <x:v>Do not build before checking whether an equivalent AI Labs asset exists.</x:v>
      </x:c>
      <x:c r="F4" s="14" t="str">
        <x:v>Medium</x:v>
      </x:c>
      <x:c r="G4" s="14" t="str">
        <x:v>TO VALIDATE WITH AI LABS</x:v>
      </x:c>
      <x:c r="H4" s="14" t="str"/>
      <x:c r="I4" s="14" t="str"/>
    </x:row>
    <x:row r="5">
      <x:c r="A5" s="14" t="n">
        <x:v>4</x:v>
      </x:c>
      <x:c r="B5" s="14" t="str">
        <x:v>Data Readiness Assessment</x:v>
      </x:c>
      <x:c r="C5" s="14" t="str">
        <x:v>A3</x:v>
      </x:c>
      <x:c r="D5" s="14" t="str">
        <x:v>PROPOSED / Candidate</x:v>
      </x:c>
      <x:c r="E5" s="14" t="str">
        <x:v>Do not build before checking whether an equivalent AI Labs asset exists.</x:v>
      </x:c>
      <x:c r="F5" s="14" t="str">
        <x:v>Medium</x:v>
      </x:c>
      <x:c r="G5" s="14" t="str">
        <x:v>TO VALIDATE WITH AI LABS</x:v>
      </x:c>
      <x:c r="H5" s="14" t="str"/>
      <x:c r="I5" s="14" t="str"/>
    </x:row>
    <x:row r="6">
      <x:c r="A6" s="14" t="n">
        <x:v>5</x:v>
      </x:c>
      <x:c r="B6" s="14" t="str">
        <x:v>AI Vision &amp; Objectives Canvas</x:v>
      </x:c>
      <x:c r="C6" s="14" t="str">
        <x:v>A5</x:v>
      </x:c>
      <x:c r="D6" s="14" t="str">
        <x:v>PROPOSED / Candidate</x:v>
      </x:c>
      <x:c r="E6" s="14" t="str">
        <x:v>Do not build before checking whether an equivalent AI Labs asset exists.</x:v>
      </x:c>
      <x:c r="F6" s="14" t="str">
        <x:v>Medium</x:v>
      </x:c>
      <x:c r="G6" s="14" t="str">
        <x:v>TO VALIDATE WITH AI LABS</x:v>
      </x:c>
      <x:c r="H6" s="14" t="str"/>
      <x:c r="I6" s="14" t="str"/>
    </x:row>
    <x:row r="7">
      <x:c r="A7" s="14" t="n">
        <x:v>6</x:v>
      </x:c>
      <x:c r="B7" s="14" t="str">
        <x:v>Use Case Intake &amp; Prioritization Matrix</x:v>
      </x:c>
      <x:c r="C7" s="14" t="str">
        <x:v>A7</x:v>
      </x:c>
      <x:c r="D7" s="14" t="str">
        <x:v>PROPOSED / Candidate</x:v>
      </x:c>
      <x:c r="E7" s="14" t="str">
        <x:v>Do not build before checking whether an equivalent AI Labs asset exists.</x:v>
      </x:c>
      <x:c r="F7" s="14" t="str">
        <x:v>High</x:v>
      </x:c>
      <x:c r="G7" s="14" t="str">
        <x:v>TO VALIDATE WITH AI LABS</x:v>
      </x:c>
      <x:c r="H7" s="14" t="str"/>
      <x:c r="I7" s="14" t="str"/>
    </x:row>
    <x:row r="8">
      <x:c r="A8" s="14" t="n">
        <x:v>7</x:v>
      </x:c>
      <x:c r="B8" s="14" t="str">
        <x:v>KPI &amp; Baseline Definition Template</x:v>
      </x:c>
      <x:c r="C8" s="14" t="str">
        <x:v>A6</x:v>
      </x:c>
      <x:c r="D8" s="14" t="str">
        <x:v>PROPOSED / Candidate</x:v>
      </x:c>
      <x:c r="E8" s="14" t="str">
        <x:v>Do not build before checking whether an equivalent AI Labs asset exists.</x:v>
      </x:c>
      <x:c r="F8" s="14" t="str">
        <x:v>Medium</x:v>
      </x:c>
      <x:c r="G8" s="14" t="str">
        <x:v>TO VALIDATE WITH AI LABS</x:v>
      </x:c>
      <x:c r="H8" s="14" t="str"/>
      <x:c r="I8" s="14" t="str"/>
    </x:row>
    <x:row r="9">
      <x:c r="A9" s="14" t="n">
        <x:v>8</x:v>
      </x:c>
      <x:c r="B9" s="14" t="str">
        <x:v>ROI / Value Assessment Model</x:v>
      </x:c>
      <x:c r="C9" s="14" t="str">
        <x:v>A9</x:v>
      </x:c>
      <x:c r="D9" s="14" t="str">
        <x:v>PROPOSED / Candidate</x:v>
      </x:c>
      <x:c r="E9" s="14" t="str">
        <x:v>Do not build before checking whether an equivalent AI Labs asset exists.</x:v>
      </x:c>
      <x:c r="F9" s="14" t="str">
        <x:v>Medium</x:v>
      </x:c>
      <x:c r="G9" s="14" t="str">
        <x:v>TO VALIDATE WITH AI LABS</x:v>
      </x:c>
      <x:c r="H9" s="14" t="str"/>
      <x:c r="I9" s="14" t="str"/>
    </x:row>
    <x:row r="10">
      <x:c r="A10" s="14" t="n">
        <x:v>9</x:v>
      </x:c>
      <x:c r="B10" s="14" t="str">
        <x:v>Technology Evaluation Matrix</x:v>
      </x:c>
      <x:c r="C10" s="14" t="str">
        <x:v>A8</x:v>
      </x:c>
      <x:c r="D10" s="14" t="str">
        <x:v>PROPOSED / Candidate</x:v>
      </x:c>
      <x:c r="E10" s="14" t="str">
        <x:v>Do not build before checking whether an equivalent AI Labs asset exists.</x:v>
      </x:c>
      <x:c r="F10" s="14" t="str">
        <x:v>High</x:v>
      </x:c>
      <x:c r="G10" s="14" t="str">
        <x:v>TO VALIDATE WITH AI LABS</x:v>
      </x:c>
      <x:c r="H10" s="14" t="str"/>
      <x:c r="I10" s="14" t="str"/>
    </x:row>
    <x:row r="11">
      <x:c r="A11" s="14" t="n">
        <x:v>10</x:v>
      </x:c>
      <x:c r="B11" s="14" t="str">
        <x:v>Target-State AI Architecture Template</x:v>
      </x:c>
      <x:c r="C11" s="14" t="str">
        <x:v>A12</x:v>
      </x:c>
      <x:c r="D11" s="14" t="str">
        <x:v>PROPOSED / Candidate</x:v>
      </x:c>
      <x:c r="E11" s="14" t="str">
        <x:v>Do not build before checking whether an equivalent AI Labs asset exists.</x:v>
      </x:c>
      <x:c r="F11" s="14" t="str">
        <x:v>High</x:v>
      </x:c>
      <x:c r="G11" s="14" t="str">
        <x:v>TO VALIDATE WITH AI LABS</x:v>
      </x:c>
      <x:c r="H11" s="14" t="str"/>
      <x:c r="I11" s="14" t="str"/>
    </x:row>
    <x:row r="12">
      <x:c r="A12" s="14" t="n">
        <x:v>11</x:v>
      </x:c>
      <x:c r="B12" s="14" t="str">
        <x:v>Strategic Roadmap Template</x:v>
      </x:c>
      <x:c r="C12" s="14" t="str">
        <x:v>A13</x:v>
      </x:c>
      <x:c r="D12" s="14" t="str">
        <x:v>PROPOSED / Candidate</x:v>
      </x:c>
      <x:c r="E12" s="14" t="str">
        <x:v>Do not build before checking whether an equivalent AI Labs asset exists.</x:v>
      </x:c>
      <x:c r="F12" s="14" t="str">
        <x:v>Medium</x:v>
      </x:c>
      <x:c r="G12" s="14" t="str">
        <x:v>TO VALIDATE WITH AI LABS</x:v>
      </x:c>
      <x:c r="H12" s="14" t="str"/>
      <x:c r="I12" s="14" t="str"/>
    </x:row>
    <x:row r="13">
      <x:c r="A13" s="14" t="n">
        <x:v>12</x:v>
      </x:c>
      <x:c r="B13" s="14" t="str">
        <x:v>PoC/PoV Experiment Charter</x:v>
      </x:c>
      <x:c r="C13" s="14" t="str">
        <x:v>B1</x:v>
      </x:c>
      <x:c r="D13" s="14" t="str">
        <x:v>PROPOSED / Candidate</x:v>
      </x:c>
      <x:c r="E13" s="14" t="str">
        <x:v>Do not build before checking whether an equivalent AI Labs asset exists.</x:v>
      </x:c>
      <x:c r="F13" s="14" t="str">
        <x:v>Medium</x:v>
      </x:c>
      <x:c r="G13" s="14" t="str">
        <x:v>TO VALIDATE WITH AI LABS</x:v>
      </x:c>
      <x:c r="H13" s="14" t="str">
        <x:v>AI LABS BUILD ASSETS REPORTED</x:v>
      </x:c>
      <x:c r="I13" s="14" t="str">
        <x:v>Brian reports Build is very advanced and has tools/accelerators. Inventory and compare existing assets before creating an equivalent Brazil artifact.</x:v>
      </x:c>
    </x:row>
    <x:row r="14">
      <x:c r="A14" s="14" t="n">
        <x:v>13</x:v>
      </x:c>
      <x:c r="B14" s="14" t="str">
        <x:v>AI Evaluation Plan</x:v>
      </x:c>
      <x:c r="C14" s="14" t="str">
        <x:v>B5</x:v>
      </x:c>
      <x:c r="D14" s="14" t="str">
        <x:v>PROPOSED / Candidate</x:v>
      </x:c>
      <x:c r="E14" s="14" t="str">
        <x:v>Do not build before checking whether an equivalent AI Labs asset exists.</x:v>
      </x:c>
      <x:c r="F14" s="14" t="str">
        <x:v>High</x:v>
      </x:c>
      <x:c r="G14" s="14" t="str">
        <x:v>TO VALIDATE WITH AI LABS</x:v>
      </x:c>
      <x:c r="H14" s="14" t="str">
        <x:v>AI LABS BUILD ASSETS REPORTED</x:v>
      </x:c>
      <x:c r="I14" s="14" t="str">
        <x:v>Brian reports Build is very advanced and has tools/accelerators. Inventory and compare existing assets before creating an equivalent Brazil artifact.</x:v>
      </x:c>
    </x:row>
    <x:row r="15">
      <x:c r="A15" s="14" t="n">
        <x:v>14</x:v>
      </x:c>
      <x:c r="B15" s="14" t="str">
        <x:v>Accelerator Inventory &amp; Fit Assessment</x:v>
      </x:c>
      <x:c r="C15" s="14" t="str">
        <x:v>B8/B9/B11</x:v>
      </x:c>
      <x:c r="D15" s="14" t="str">
        <x:v>PROPOSED / Candidate</x:v>
      </x:c>
      <x:c r="E15" s="14" t="str">
        <x:v>Do not build before checking whether an equivalent AI Labs asset exists.</x:v>
      </x:c>
      <x:c r="F15" s="14" t="str">
        <x:v>High</x:v>
      </x:c>
      <x:c r="G15" s="14" t="str">
        <x:v>TO VALIDATE WITH AI LABS</x:v>
      </x:c>
      <x:c r="H15" s="14" t="str">
        <x:v>AI LABS BUILD ASSETS REPORTED</x:v>
      </x:c>
      <x:c r="I15" s="14" t="str">
        <x:v>Brian reports Build is very advanced and has tools/accelerators. Inventory and compare existing assets before creating an equivalent Brazil artifact.</x:v>
      </x:c>
    </x:row>
    <x:row r="16">
      <x:c r="A16" s="14" t="n">
        <x:v>15</x:v>
      </x:c>
      <x:c r="B16" s="14" t="str">
        <x:v>AI Governance/Risk Assessment</x:v>
      </x:c>
      <x:c r="C16" s="14" t="str">
        <x:v>A15/C4</x:v>
      </x:c>
      <x:c r="D16" s="14" t="str">
        <x:v>PROPOSED / Candidate</x:v>
      </x:c>
      <x:c r="E16" s="14" t="str">
        <x:v>Do not build before checking whether an equivalent AI Labs asset exists.</x:v>
      </x:c>
      <x:c r="F16" s="14" t="str">
        <x:v>High</x:v>
      </x:c>
      <x:c r="G16" s="14" t="str">
        <x:v>TO VALIDATE WITH AI LABS</x:v>
      </x:c>
      <x:c r="H16" s="14" t="str"/>
      <x:c r="I16" s="14" t="str"/>
    </x:row>
    <x:row r="17">
      <x:c r="A17" s="14" t="n">
        <x:v>16</x:v>
      </x:c>
      <x:c r="B17" s="14" t="str">
        <x:v>Human Oversight Matrix</x:v>
      </x:c>
      <x:c r="C17" s="14" t="str">
        <x:v>C3</x:v>
      </x:c>
      <x:c r="D17" s="14" t="str">
        <x:v>PROPOSED / Candidate</x:v>
      </x:c>
      <x:c r="E17" s="14" t="str">
        <x:v>Do not build before checking whether an equivalent AI Labs asset exists.</x:v>
      </x:c>
      <x:c r="F17" s="14" t="str">
        <x:v>Medium</x:v>
      </x:c>
      <x:c r="G17" s="14" t="str">
        <x:v>TO VALIDATE WITH AI LABS</x:v>
      </x:c>
      <x:c r="H17" s="14" t="str"/>
      <x:c r="I17" s="14" t="str"/>
    </x:row>
    <x:row r="18">
      <x:c r="A18" s="14" t="n">
        <x:v>17</x:v>
      </x:c>
      <x:c r="B18" s="14" t="str">
        <x:v>LLMOps/MLOps Pipeline Blueprint</x:v>
      </x:c>
      <x:c r="C18" s="14" t="str">
        <x:v>B7/C9</x:v>
      </x:c>
      <x:c r="D18" s="14" t="str">
        <x:v>PROPOSED / Candidate</x:v>
      </x:c>
      <x:c r="E18" s="14" t="str">
        <x:v>Do not build before checking whether an equivalent AI Labs asset exists.</x:v>
      </x:c>
      <x:c r="F18" s="14" t="str">
        <x:v>Medium</x:v>
      </x:c>
      <x:c r="G18" s="14" t="str">
        <x:v>TO VALIDATE WITH AI LABS</x:v>
      </x:c>
      <x:c r="H18" s="14" t="str">
        <x:v>AI LABS BUILD ASSETS REPORTED</x:v>
      </x:c>
      <x:c r="I18" s="14" t="str">
        <x:v>Brian reports Build is very advanced and has tools/accelerators. Inventory and compare existing assets before creating an equivalent Brazil artifact.</x:v>
      </x:c>
    </x:row>
    <x:row r="19">
      <x:c r="A19" s="14" t="n">
        <x:v>18</x:v>
      </x:c>
      <x:c r="B19" s="14" t="str">
        <x:v>AI Operational Monitoring Plan</x:v>
      </x:c>
      <x:c r="C19" s="14" t="str">
        <x:v>C8</x:v>
      </x:c>
      <x:c r="D19" s="14" t="str">
        <x:v>PROPOSED / Candidate</x:v>
      </x:c>
      <x:c r="E19" s="14" t="str">
        <x:v>Do not build before checking whether an equivalent AI Labs asset exists.</x:v>
      </x:c>
      <x:c r="F19" s="14" t="str">
        <x:v>High</x:v>
      </x:c>
      <x:c r="G19" s="14" t="str">
        <x:v>TO VALIDATE WITH AI LABS</x:v>
      </x:c>
      <x:c r="H19" s="14" t="str"/>
      <x:c r="I19" s="14" t="str"/>
    </x:row>
    <x:row r="20">
      <x:c r="A20" s="14" t="n">
        <x:v>19</x:v>
      </x:c>
      <x:c r="B20" s="14" t="str">
        <x:v>AI Incident &amp; Rollback Addendum</x:v>
      </x:c>
      <x:c r="C20" s="14" t="str">
        <x:v>C10</x:v>
      </x:c>
      <x:c r="D20" s="14" t="str">
        <x:v>PROPOSED / Candidate</x:v>
      </x:c>
      <x:c r="E20" s="14" t="str">
        <x:v>Do not build before checking whether an equivalent AI Labs asset exists.</x:v>
      </x:c>
      <x:c r="F20" s="14" t="str">
        <x:v>High</x:v>
      </x:c>
      <x:c r="G20" s="14" t="str">
        <x:v>TO VALIDATE WITH AI LABS</x:v>
      </x:c>
      <x:c r="H20" s="14" t="str"/>
      <x:c r="I20" s="14" t="str"/>
    </x:row>
    <x:row r="21">
      <x:c r="A21" s="14" t="n">
        <x:v>20</x:v>
      </x:c>
      <x:c r="B21" s="14" t="str">
        <x:v>AI CoE / Governance Operating Charter</x:v>
      </x:c>
      <x:c r="C21" s="14" t="str">
        <x:v>C2</x:v>
      </x:c>
      <x:c r="D21" s="14" t="str">
        <x:v>PROPOSED / Candidate</x:v>
      </x:c>
      <x:c r="E21" s="14" t="str">
        <x:v>Do not build before checking whether an equivalent AI Labs asset exists.</x:v>
      </x:c>
      <x:c r="F21" s="14" t="str">
        <x:v>Medium</x:v>
      </x:c>
      <x:c r="G21" s="14" t="str">
        <x:v>TO VALIDATE WITH AI LABS</x:v>
      </x:c>
      <x:c r="H21" s="14" t="str"/>
      <x:c r="I21" s="14" t="str"/>
    </x:row>
  </x:sheetData>
  <x:dataValidations count="2">
    <x:dataValidation type="list" sqref="F2:F21">
      <x:formula1>"Critical,High,Medium,Low"</x:formula1>
    </x:dataValidation>
    <x:dataValidation type="list" sqref="G2:G21">
      <x:formula1>"DEFINED,PARTIAL,NOT FOUND,TO VALIDATE WITH AI LABS,BRAZIL TO PROPOSE,BRAZIL TO BUILD,VALIDATED"</x:formula1>
    </x:dataValidation>
  </x:dataValidations>
  <x:pageMargins left="0.7" right="0.7" top="0.75" bottom="0.75" header="0.3" footer="0.3"/>
  <x:tableParts count="1">
    <x:tablePart xmlns:r="http://schemas.openxmlformats.org/officeDocument/2006/relationships" r:id="Rb094e2a2e5df4a4e"/>
  </x:tableParts>
</x:worksheet>
</file>

<file path=xl/worksheets/sheet4.xml><?xml version="1.0" encoding="utf-8"?>
<x:worksheet xmlns:x="http://schemas.openxmlformats.org/spreadsheetml/2006/main">
  <x:sheetFormatPr defaultRowHeight="15"/>
  <x:cols>
    <x:col min="1" max="1" width="6" hidden="0" customWidth="1"/>
    <x:col min="2" max="2" width="18" hidden="0" customWidth="1"/>
    <x:col min="3" max="3" width="75" hidden="0" customWidth="1"/>
    <x:col min="4" max="4" width="12" hidden="0" customWidth="1"/>
    <x:col min="5" max="5" width="22" hidden="0" customWidth="1"/>
    <x:col min="6" max="6" width="55" hidden="0" customWidth="1"/>
    <x:col min="7" max="7" width="30" hidden="0" customWidth="1"/>
    <x:col min="8" max="8" width="45" hidden="0" customWidth="1"/>
  </x:cols>
  <x:sheetData>
    <x:row r="1">
      <x:c r="A1" s="17" t="str">
        <x:v>#</x:v>
      </x:c>
      <x:c r="B1" s="17" t="str">
        <x:v>Theme</x:v>
      </x:c>
      <x:c r="C1" s="17" t="str">
        <x:v>Question</x:v>
      </x:c>
      <x:c r="D1" s="17" t="str">
        <x:v>Priority</x:v>
      </x:c>
      <x:c r="E1" s="17" t="str">
        <x:v>Status</x:v>
      </x:c>
      <x:c r="F1" s="17" t="str">
        <x:v>Answer / Evidence</x:v>
      </x:c>
      <x:c r="G1" s="17" t="str">
        <x:v>Source / Date</x:v>
      </x:c>
      <x:c r="H1" s="17" t="str">
        <x:v>Follow-up / Decision</x:v>
      </x:c>
    </x:row>
    <x:row r="2">
      <x:c r="A2" s="14" t="n">
        <x:v>1</x:v>
      </x:c>
      <x:c r="B2" s="14" t="str">
        <x:v>Methodology</x:v>
      </x:c>
      <x:c r="C2" s="14" t="str">
        <x:v>What documentation exists beyond the pitch deck? Implementation guides, playbooks, templates, workshop materials or internal repositories?</x:v>
      </x:c>
      <x:c r="D2" s="14" t="str">
        <x:v>Critical</x:v>
      </x:c>
      <x:c r="E2" s="14" t="str">
        <x:v>PARTIALLY ANSWERED</x:v>
      </x:c>
      <x:c r="F2" s="14" t="str">
        <x:v>Brian confirmed implementation material exists; initial Discovery Workshop and Align material exist; a new AgilityAI content website is being considered for deployment. Exact documents/access still pending.</x:v>
      </x:c>
      <x:c r="G2" s="14" t="str">
        <x:v>Brian Rowe / 2026-08-14</x:v>
      </x:c>
      <x:c r="H2" s="14" t="str">
        <x:v>Receive/access materials after Brian returns; inventory before creating equivalents.</x:v>
      </x:c>
    </x:row>
    <x:row r="3">
      <x:c r="A3" s="14" t="n">
        <x:v>2</x:v>
      </x:c>
      <x:c r="B3" s="14" t="str">
        <x:v>Methodology</x:v>
      </x:c>
      <x:c r="C3" s="14" t="str">
        <x:v>Which ABC activities have a formal method versus conceptual/positioning content only?</x:v>
      </x:c>
      <x:c r="D3" s="14" t="str">
        <x:v>Critical</x:v>
      </x:c>
      <x:c r="E3" s="14" t="str">
        <x:v>PARTIALLY ANSWERED</x:v>
      </x:c>
      <x:c r="F3" s="14" t="str">
        <x:v>Brian described the overall material as very immature, while stating that Build is very advanced. This indicates uneven maturity, but does not map maturity activity-by-activity.</x:v>
      </x:c>
      <x:c r="G3" s="14" t="str">
        <x:v>Brian Rowe / 2026-08-14</x:v>
      </x:c>
      <x:c r="H3" s="14" t="str">
        <x:v>After assets arrive, classify maturity by ABC activity rather than by phase-level assumption.</x:v>
      </x:c>
    </x:row>
    <x:row r="4">
      <x:c r="A4" s="14" t="n">
        <x:v>3</x:v>
      </x:c>
      <x:c r="B4" s="14" t="str">
        <x:v>Align</x:v>
      </x:c>
      <x:c r="C4" s="14" t="str">
        <x:v>Is there an official AI maturity assessment associated with the Evolutionary Staircase?</x:v>
      </x:c>
      <x:c r="D4" s="14" t="str">
        <x:v>High</x:v>
      </x:c>
      <x:c r="E4" s="14" t="str">
        <x:v>SENT / PARTIALLY ASKED</x:v>
      </x:c>
      <x:c r="F4" s="14" t="str"/>
      <x:c r="G4" s="14" t="str"/>
      <x:c r="H4" s="14" t="str"/>
    </x:row>
    <x:row r="5">
      <x:c r="A5" s="14" t="n">
        <x:v>4</x:v>
      </x:c>
      <x:c r="B5" s="14" t="str">
        <x:v>Align</x:v>
      </x:c>
      <x:c r="C5" s="14" t="str">
        <x:v>Is there an official Use Case Sprint / scoring model?</x:v>
      </x:c>
      <x:c r="D5" s="14" t="str">
        <x:v>High</x:v>
      </x:c>
      <x:c r="E5" s="14" t="str">
        <x:v>SENT / PARTIALLY ASKED</x:v>
      </x:c>
      <x:c r="F5" s="14" t="str"/>
      <x:c r="G5" s="14" t="str"/>
      <x:c r="H5" s="14" t="str"/>
    </x:row>
    <x:row r="6">
      <x:c r="A6" s="14" t="n">
        <x:v>5</x:v>
      </x:c>
      <x:c r="B6" s="14" t="str">
        <x:v>Align</x:v>
      </x:c>
      <x:c r="C6" s="14" t="str">
        <x:v>Is there an official ROI / PoV / value measurement methodology?</x:v>
      </x:c>
      <x:c r="D6" s="14" t="str">
        <x:v>High</x:v>
      </x:c>
      <x:c r="E6" s="14" t="str">
        <x:v>SENT / PARTIALLY ASKED</x:v>
      </x:c>
      <x:c r="F6" s="14" t="str"/>
      <x:c r="G6" s="14" t="str"/>
      <x:c r="H6" s="14" t="str"/>
    </x:row>
    <x:row r="7">
      <x:c r="A7" s="14" t="n">
        <x:v>6</x:v>
      </x:c>
      <x:c r="B7" s="14" t="str">
        <x:v>Architecture</x:v>
      </x:c>
      <x:c r="C7" s="14" t="str">
        <x:v>Which reference architectures and design patterns sit behind Architecture &amp; Standards?</x:v>
      </x:c>
      <x:c r="D7" s="14" t="str">
        <x:v>Critical</x:v>
      </x:c>
      <x:c r="E7" s="14" t="str">
        <x:v>SENT / PARTIALLY ASKED</x:v>
      </x:c>
      <x:c r="F7" s="14" t="str"/>
      <x:c r="G7" s="14" t="str"/>
      <x:c r="H7" s="14" t="str"/>
    </x:row>
    <x:row r="8">
      <x:c r="A8" s="14" t="n">
        <x:v>7</x:v>
      </x:c>
      <x:c r="B8" s="14" t="str">
        <x:v>Build</x:v>
      </x:c>
      <x:c r="C8" s="14" t="str">
        <x:v>What is the operational definition of build-code orchestration?</x:v>
      </x:c>
      <x:c r="D8" s="14" t="str">
        <x:v>Critical</x:v>
      </x:c>
      <x:c r="E8" s="14" t="str">
        <x:v>TO ASK / CLARIFY</x:v>
      </x:c>
      <x:c r="F8" s="14" t="str"/>
      <x:c r="G8" s="14" t="str"/>
      <x:c r="H8" s="14" t="str"/>
    </x:row>
    <x:row r="9">
      <x:c r="A9" s="14" t="n">
        <x:v>8</x:v>
      </x:c>
      <x:c r="B9" s="14" t="str">
        <x:v>Build/Control</x:v>
      </x:c>
      <x:c r="C9" s="14" t="str">
        <x:v>What evaluation framework does AI Labs use: metrics, benchmarking, confidence scoring and quality gates?</x:v>
      </x:c>
      <x:c r="D9" s="14" t="str">
        <x:v>Critical</x:v>
      </x:c>
      <x:c r="E9" s="14" t="str">
        <x:v>SENT / PARTIALLY ASKED</x:v>
      </x:c>
      <x:c r="F9" s="14" t="str"/>
      <x:c r="G9" s="14" t="str"/>
      <x:c r="H9" s="14" t="str"/>
    </x:row>
    <x:row r="10">
      <x:c r="A10" s="14" t="n">
        <x:v>9</x:v>
      </x:c>
      <x:c r="B10" s="14" t="str">
        <x:v>Control</x:v>
      </x:c>
      <x:c r="C10" s="14" t="str">
        <x:v>Is there a formal model/AI risk-tiering methodology?</x:v>
      </x:c>
      <x:c r="D10" s="14" t="str">
        <x:v>High</x:v>
      </x:c>
      <x:c r="E10" s="14" t="str">
        <x:v>SENT / PARTIALLY ASKED</x:v>
      </x:c>
      <x:c r="F10" s="14" t="str"/>
      <x:c r="G10" s="14" t="str"/>
      <x:c r="H10" s="14" t="str"/>
    </x:row>
    <x:row r="11">
      <x:c r="A11" s="14" t="n">
        <x:v>10</x:v>
      </x:c>
      <x:c r="B11" s="14" t="str">
        <x:v>Build/Control</x:v>
      </x:c>
      <x:c r="C11" s="14" t="str">
        <x:v>What standards exist for MLOps/LLMOps, prompt management, monitoring, incident response and rollback?</x:v>
      </x:c>
      <x:c r="D11" s="14" t="str">
        <x:v>Critical</x:v>
      </x:c>
      <x:c r="E11" s="14" t="str">
        <x:v>SENT / PARTIALLY ASKED</x:v>
      </x:c>
      <x:c r="F11" s="14" t="str"/>
      <x:c r="G11" s="14" t="str"/>
      <x:c r="H11" s="14" t="str"/>
    </x:row>
    <x:row r="12">
      <x:c r="A12" s="14" t="n">
        <x:v>11</x:v>
      </x:c>
      <x:c r="B12" s="14" t="str">
        <x:v>Accelerators</x:v>
      </x:c>
      <x:c r="C12" s="14" t="str">
        <x:v>What is the actual catalog, access path and maturity/status of PromptRouter®, Data Migration, Call Center Analysis, HR Support Virtual Agent, App Mapping &amp; Development and Chat to Enterprise?</x:v>
      </x:c>
      <x:c r="D12" s="14" t="str">
        <x:v>Critical</x:v>
      </x:c>
      <x:c r="E12" s="14" t="str">
        <x:v>PARTIALLY ANSWERED</x:v>
      </x:c>
      <x:c r="F12" s="14" t="str">
        <x:v>Brian confirmed that Build has tools and accelerators to assist. Exact catalog, access path, documentation and maturity/status of each accelerator were not provided yet.</x:v>
      </x:c>
      <x:c r="G12" s="14" t="str">
        <x:v>Brian Rowe / 2026-08-14</x:v>
      </x:c>
      <x:c r="H12" s="14" t="str">
        <x:v>Inventory tools/accelerators after access is provided; map each asset to B8/B9/B11 and related use cases.</x:v>
      </x:c>
    </x:row>
    <x:row r="13">
      <x:c r="A13" s="14" t="n">
        <x:v>12</x:v>
      </x:c>
      <x:c r="B13" s="14" t="str">
        <x:v>Governance</x:v>
      </x:c>
      <x:c r="C13" s="14" t="str">
        <x:v>Does the three-tier governance operating model represent a conceptual model, an existing Marlabs structure, a client target model, or a combination?</x:v>
      </x:c>
      <x:c r="D13" s="14" t="str">
        <x:v>High</x:v>
      </x:c>
      <x:c r="E13" s="14" t="str">
        <x:v>TO ASK / CLARIFY</x:v>
      </x:c>
      <x:c r="F13" s="14" t="str"/>
      <x:c r="G13" s="14" t="str"/>
      <x:c r="H13" s="14" t="str"/>
    </x:row>
    <x:row r="14">
      <x:c r="A14" s="14" t="n">
        <x:v>13</x:v>
      </x:c>
      <x:c r="B14" s="14" t="str">
        <x:v>Align</x:v>
      </x:c>
      <x:c r="C14" s="14" t="str">
        <x:v>Are Day 30/60/90 and the 12–18 month roadmap prescriptive methodology, guidelines, or commercial framing?</x:v>
      </x:c>
      <x:c r="D14" s="14" t="str">
        <x:v>High</x:v>
      </x:c>
      <x:c r="E14" s="14" t="str">
        <x:v>TO ASK / CLARIFY</x:v>
      </x:c>
      <x:c r="F14" s="14" t="str"/>
      <x:c r="G14" s="14" t="str"/>
      <x:c r="H14" s="14" t="str"/>
    </x:row>
    <x:row r="15">
      <x:c r="A15" s="14" t="n">
        <x:v>14</x:v>
      </x:c>
      <x:c r="B15" s="14" t="str">
        <x:v>Methodology</x:v>
      </x:c>
      <x:c r="C15" s="14" t="str">
        <x:v>What are the minimum required outputs/artifacts of Align, Build and Control?</x:v>
      </x:c>
      <x:c r="D15" s="14" t="str">
        <x:v>Critical</x:v>
      </x:c>
      <x:c r="E15" s="14" t="str">
        <x:v>SENT / PARTIALLY ASKED</x:v>
      </x:c>
      <x:c r="F15" s="14" t="str"/>
      <x:c r="G15" s="14" t="str"/>
      <x:c r="H15" s="14" t="str"/>
    </x:row>
    <x:row r="16">
      <x:c r="A16" s="14" t="n">
        <x:v>15</x:v>
      </x:c>
      <x:c r="B16" s="14" t="str">
        <x:v>Brazil Role</x:v>
      </x:c>
      <x:c r="C16" s="14" t="str">
        <x:v>Which parts can Brazil create/propose back to global as framework improvements?</x:v>
      </x:c>
      <x:c r="D16" s="14" t="str">
        <x:v>High</x:v>
      </x:c>
      <x:c r="E16" s="14" t="str">
        <x:v>SENT / PARTIALLY ASKED</x:v>
      </x:c>
      <x:c r="F16" s="14" t="str"/>
      <x:c r="G16" s="14" t="str"/>
      <x:c r="H16" s="14" t="str"/>
    </x:row>
    <x:row r="17">
      <x:c r="A17" s="14" t="n">
        <x:v>16</x:v>
      </x:c>
      <x:c r="B17" s="14" t="str">
        <x:v>Platform</x:v>
      </x:c>
      <x:c r="C17" s="14" t="str">
        <x:v>What cloud/platform constraints are mandatory versus optional? Is cloud portability across AWS, Azure and Google a formal framework requirement?</x:v>
      </x:c>
      <x:c r="D17" s="14" t="str">
        <x:v>Critical</x:v>
      </x:c>
      <x:c r="E17" s="14" t="str">
        <x:v>TO ASK / CLARIFY</x:v>
      </x:c>
      <x:c r="F17" s="14" t="str"/>
      <x:c r="G17" s="14" t="str"/>
      <x:c r="H17" s="14" t="str"/>
    </x:row>
    <x:row r="18">
      <x:c r="A18" s="14" t="n">
        <x:v>17</x:v>
      </x:c>
      <x:c r="B18" s="14" t="str">
        <x:v>Environment</x:v>
      </x:c>
      <x:c r="C18" s="14" t="str">
        <x:v>What exact access will Padmesh provision for LLM models and the development environment, and what are the usage/security constraints?</x:v>
      </x:c>
      <x:c r="D18" s="14" t="str">
        <x:v>Critical</x:v>
      </x:c>
      <x:c r="E18" s="14" t="str">
        <x:v>TO ASK / CLARIFY</x:v>
      </x:c>
      <x:c r="F18" s="14" t="str"/>
      <x:c r="G18" s="14" t="str"/>
      <x:c r="H18" s="14" t="str"/>
    </x:row>
    <x:row r="19">
      <x:c r="A19" s="14" t="n">
        <x:v>18</x:v>
      </x:c>
      <x:c r="B19" s="14" t="str">
        <x:v>Azure Foundry</x:v>
      </x:c>
      <x:c r="C19" s="14" t="str">
        <x:v>For the planned Azure Foundry test, what is the intended scope, success criteria, architecture boundary and expected reusable output?</x:v>
      </x:c>
      <x:c r="D19" s="14" t="str">
        <x:v>Critical</x:v>
      </x:c>
      <x:c r="E19" s="14" t="str">
        <x:v>TO ASK / CLARIFY</x:v>
      </x:c>
      <x:c r="F19" s="14" t="str"/>
      <x:c r="G19" s="14" t="str"/>
      <x:c r="H19" s="14" t="str"/>
    </x:row>
  </x:sheetData>
  <x:dataValidations count="2">
    <x:dataValidation type="list" sqref="D2:D19">
      <x:formula1>"Critical,High,Medium,Low"</x:formula1>
    </x:dataValidation>
    <x:dataValidation type="list" sqref="E2:E19">
      <x:formula1>"TO ASK / CLARIFY,SENT / PARTIALLY ASKED,ANSWERED,NEEDS FOLLOW-UP,CLOSED"</x:formula1>
    </x:dataValidation>
  </x:dataValidations>
  <x:pageMargins left="0.7" right="0.7" top="0.75" bottom="0.75" header="0.3" footer="0.3"/>
  <x:tableParts count="1">
    <x:tablePart xmlns:r="http://schemas.openxmlformats.org/officeDocument/2006/relationships" r:id="R22607a738db64c54"/>
  </x:tableParts>
</x:worksheet>
</file>

<file path=xl/worksheets/sheet5.xml><?xml version="1.0" encoding="utf-8"?>
<x:worksheet xmlns:x="http://schemas.openxmlformats.org/spreadsheetml/2006/main">
  <x:sheetFormatPr defaultRowHeight="15"/>
  <x:cols>
    <x:col min="1" max="1" width="14" hidden="0" customWidth="1"/>
    <x:col min="2" max="2" width="28" hidden="0" customWidth="1"/>
    <x:col min="3" max="3" width="25" hidden="0" customWidth="1"/>
    <x:col min="4" max="4" width="75" hidden="0" customWidth="1"/>
    <x:col min="5" max="5" width="60" hidden="0" customWidth="1"/>
    <x:col min="6" max="6" width="45" hidden="0" customWidth="1"/>
    <x:col min="7" max="7" width="60" hidden="0" customWidth="1"/>
    <x:col min="8" max="8" width="20" hidden="0" customWidth="1"/>
  </x:cols>
  <x:sheetData>
    <x:row r="1">
      <x:c r="A1" s="17" t="str">
        <x:v>Date</x:v>
      </x:c>
      <x:c r="B1" s="17" t="str">
        <x:v>Source / Person</x:v>
      </x:c>
      <x:c r="C1" s="17" t="str">
        <x:v>Evidence Type</x:v>
      </x:c>
      <x:c r="D1" s="17" t="str">
        <x:v>Statement / Evidence</x:v>
      </x:c>
      <x:c r="E1" s="17" t="str">
        <x:v>Implication</x:v>
      </x:c>
      <x:c r="F1" s="17" t="str">
        <x:v>Authority / Confidence</x:v>
      </x:c>
      <x:c r="G1" s="17" t="str">
        <x:v>Action</x:v>
      </x:c>
      <x:c r="H1" s="17" t="str">
        <x:v>Status</x:v>
      </x:c>
    </x:row>
    <x:row r="2">
      <x:c r="A2" s="14" t="str">
        <x:v>2026-08-13</x:v>
      </x:c>
      <x:c r="B2" s="14" t="str">
        <x:v>Célia Homa</x:v>
      </x:c>
      <x:c r="C2" s="14" t="str">
        <x:v>Recorded project guidance</x:v>
      </x:c>
      <x:c r="D2" s="14" t="str">
        <x:v>There will be iterations with Brian to develop Phase 1; in parallel, the team can work on the conceptual/technical part of the framework.</x:v>
      </x:c>
      <x:c r="E2" s="14" t="str">
        <x:v>Phase 1 can progress in parallel; AI Labs interaction is not a blanket blocker.</x:v>
      </x:c>
      <x:c r="F2" s="14" t="str">
        <x:v>Direct team guidance; not a Charter amendment.</x:v>
      </x:c>
      <x:c r="G2" s="14" t="str">
        <x:v>Continue conceptual/technical gap work; align with Juliana/team.</x:v>
      </x:c>
      <x:c r="H2" s="14" t="str">
        <x:v>ACTIVE</x:v>
      </x:c>
    </x:row>
    <x:row r="3">
      <x:c r="A3" s="14" t="str">
        <x:v>2026-08-13</x:v>
      </x:c>
      <x:c r="B3" s="14" t="str">
        <x:v>Matheus Moura reporting Brian</x:v>
      </x:c>
      <x:c r="C3" s="14" t="str">
        <x:v>Team-reported statement</x:v>
      </x:c>
      <x:c r="D3" s="14" t="str">
        <x:v>Brian said access to LLM models and a development environment is possible and asked Matheus to coordinate with Padmesh; Padmesh indicated access can be released after a direct call.</x:v>
      </x:c>
      <x:c r="E3" s="14" t="str">
        <x:v>Environment/access is actionable and should become a tracked technical dependency.</x:v>
      </x:c>
      <x:c r="F3" s="14" t="str">
        <x:v>Second-hand report; operational details still need confirmation.</x:v>
      </x:c>
      <x:c r="G3" s="14" t="str">
        <x:v>Join Padmesh call; document access, security, quotas, models, environments and constraints.</x:v>
      </x:c>
      <x:c r="H3" s="14" t="str">
        <x:v>TO CONFIRM</x:v>
      </x:c>
    </x:row>
    <x:row r="4">
      <x:c r="A4" s="14" t="str">
        <x:v>2026-08-13</x:v>
      </x:c>
      <x:c r="B4" s="14" t="str">
        <x:v>Matheus Moura reporting Brian</x:v>
      </x:c>
      <x:c r="C4" s="14" t="str">
        <x:v>Team-reported statement</x:v>
      </x:c>
      <x:c r="D4" s="14" t="str">
        <x:v>Brian indicated the framework should be replicable and contemplate applications supporting AWS, Azure and Google; the team expects to test the application with Azure Foundry.</x:v>
      </x:c>
      <x:c r="E4" s="14" t="str">
        <x:v>Cloud portability/multi-cloud may be an important design constraint; Azure Foundry becomes an initial implementation/test context.</x:v>
      </x:c>
      <x:c r="F4" s="14" t="str">
        <x:v>Second-hand report; exact requirement wording and scope need direct confirmation.</x:v>
      </x:c>
      <x:c r="G4" s="14" t="str">
        <x:v>Add platform portability and Azure Foundry questions to AI Labs register; avoid locking architecture prematurely.</x:v>
      </x:c>
      <x:c r="H4" s="14" t="str">
        <x:v>TO CONFIRM</x:v>
      </x:c>
    </x:row>
    <x:row r="5">
      <x:c r="A5" s="14" t="str">
        <x:v>2026-08-13</x:v>
      </x:c>
      <x:c r="B5" s="14" t="str">
        <x:v>Message sent to Brian Rowe</x:v>
      </x:c>
      <x:c r="C5" s="14" t="str">
        <x:v>Direct outreach</x:v>
      </x:c>
      <x:c r="D5" s="14" t="str">
        <x:v>Asked what already exists in AI Labs: implementation guides, playbooks, templates, reference architectures, use-case prioritization models, evaluation approaches, governance standards, accelerator documentation, and which ABC areas are mature vs being refined.</x:v>
      </x:c>
      <x:c r="E5" s="14" t="str">
        <x:v>Many core Gap Register rows are now awaiting authoritative evidence rather than requiring immediate artifact creation.</x:v>
      </x:c>
      <x:c r="F5" s="14" t="str">
        <x:v>Direct message sent; response pending.</x:v>
      </x:c>
      <x:c r="G5" s="14" t="str">
        <x:v>When Brian responds, update Gap Register and Candidate Artifacts before building duplicates.</x:v>
      </x:c>
      <x:c r="H5" s="14" t="str">
        <x:v>AWAITING RESPONSE</x:v>
      </x:c>
    </x:row>
    <x:row r="6">
      <x:c r="A6" s="14" t="str">
        <x:v>2026-08-13</x:v>
      </x:c>
      <x:c r="B6" s="14" t="str">
        <x:v>User-provided role context</x:v>
      </x:c>
      <x:c r="C6" s="14" t="str">
        <x:v>Stakeholder context</x:v>
      </x:c>
      <x:c r="D6" s="14" t="str">
        <x:v>Brian Rowe is Senior Vice President Solutioning - Data &amp; AI (OB).</x:v>
      </x:c>
      <x:c r="E6" s="14" t="str">
        <x:v>His response should be treated as high-value AI Labs/solutioning guidance, while formal changes to the Charter still require appropriate project governance.</x:v>
      </x:c>
      <x:c r="F6" s="14" t="str">
        <x:v>User-provided organizational context.</x:v>
      </x:c>
      <x:c r="G6" s="14" t="str">
        <x:v>Use Brian interaction to validate methodology/assets; preserve source/decision traceability.</x:v>
      </x:c>
      <x:c r="H6" s="14" t="str">
        <x:v>ACTIVE</x:v>
      </x:c>
    </x:row>
    <x:row r="7">
      <x:c r="A7" s="14" t="str">
        <x:v>2026-08-14</x:v>
      </x:c>
      <x:c r="B7" s="14" t="str">
        <x:v>Brian Rowe</x:v>
      </x:c>
      <x:c r="C7" s="14" t="str">
        <x:v>Direct AI Labs guidance</x:v>
      </x:c>
      <x:c r="D7" s="14" t="str">
        <x:v>Brian confirmed that implementation material exists and will continue to be built out. He reported initial Discovery Workshop and Align material, a new base website of AgilityAI content under consideration for deployment, and stated that the overall material is still very immature. He also stated that Build is very advanced and has tools and accelerators to assist.</x:v>
      </x:c>
      <x:c r="E7" s="14" t="str">
        <x:v>The Brazil knowledge base is incomplete rather than evidence of non-existence. Align/Discovery assets are expected; Build should be treated as materially more mature, with an inventory/review of existing tools and accelerators required before Brazil creates equivalents.</x:v>
      </x:c>
      <x:c r="F7" s="14" t="str">
        <x:v>Direct response from Senior Vice President Solutioning - Data &amp; AI (OB); high-value AI Labs guidance, not a Charter amendment.</x:v>
      </x:c>
      <x:c r="G7" s="14" t="str">
        <x:v>Await Brian's return and receipt/access to the referenced materials; inventory assets; then reassess Gap Register and Candidate Artifacts.</x:v>
      </x:c>
      <x:c r="H7" s="14" t="str">
        <x:v>PARTIAL RESPONSE / ACTIVE</x:v>
      </x:c>
    </x:row>
  </x:sheetData>
  <x:pageMargins left="0.7" right="0.7" top="0.75" bottom="0.75" header="0.3" footer="0.3"/>
  <x:tableParts count="1">
    <x:tablePart xmlns:r="http://schemas.openxmlformats.org/officeDocument/2006/relationships" r:id="R20ea29dcdbfc4c91"/>
  </x:tableParts>
</x:worksheet>
</file>

<file path=xl/worksheets/sheet6.xml><?xml version="1.0" encoding="utf-8"?>
<x:worksheet xmlns:x="http://schemas.openxmlformats.org/spreadsheetml/2006/main">
  <x:sheetFormatPr defaultRowHeight="15"/>
  <x:cols>
    <x:col min="1" max="1" width="8" hidden="0" customWidth="1"/>
    <x:col min="2" max="2" width="10" hidden="0" customWidth="1"/>
    <x:col min="3" max="3" width="32" hidden="0" customWidth="1"/>
    <x:col min="4" max="4" width="55" hidden="0" customWidth="1"/>
    <x:col min="5" max="5" width="25" hidden="0" customWidth="1"/>
    <x:col min="6" max="6" width="70" hidden="0" customWidth="1"/>
    <x:col min="7" max="7" width="65" hidden="0" customWidth="1"/>
  </x:cols>
  <x:sheetData>
    <x:row r="1">
      <x:c r="A1" s="17" t="str">
        <x:v>ID</x:v>
      </x:c>
      <x:c r="B1" s="17" t="str">
        <x:v>ABC</x:v>
      </x:c>
      <x:c r="C1" s="17" t="str">
        <x:v>Activity</x:v>
      </x:c>
      <x:c r="D1" s="17" t="str">
        <x:v>Why it matters technically</x:v>
      </x:c>
      <x:c r="E1" s="17" t="str">
        <x:v>Current state</x:v>
      </x:c>
      <x:c r="F1" s="17" t="str">
        <x:v>Immediate safe action</x:v>
      </x:c>
      <x:c r="G1" s="17" t="str">
        <x:v>Dependency / Validation</x:v>
      </x:c>
    </x:row>
    <x:row r="2">
      <x:c r="A2" s="14" t="str">
        <x:v>A3</x:v>
      </x:c>
      <x:c r="B2" s="14" t="str">
        <x:v>Align</x:v>
      </x:c>
      <x:c r="C2" s="14" t="str">
        <x:v>Data landscape discovery</x:v>
      </x:c>
      <x:c r="D2" s="14" t="str">
        <x:v>Directly related to architecture, engineering, data, evaluation, platform, operations or agent implementation.</x:v>
      </x:c>
      <x:c r="E2" s="14" t="str">
        <x:v>TO VALIDATE WITH AI LABS</x:v>
      </x:c>
      <x:c r="F2" s="14" t="str">
        <x:v>Analyze and structure questions/evidence; do not lock implementation until constraints/assets are confirmed.</x:v>
      </x:c>
      <x:c r="G2" s="14" t="str">
        <x:v>existência de um data readiness framework da Marlabs/AI Labs; critérios oficiais para considerar dados “AI-ready”; relação com ferramentas ou práticas existentes de Data &amp; Analytics.</x:v>
      </x:c>
    </x:row>
    <x:row r="3">
      <x:c r="A3" s="14" t="str">
        <x:v>A7</x:v>
      </x:c>
      <x:c r="B3" s="14" t="str">
        <x:v>Align</x:v>
      </x:c>
      <x:c r="C3" s="14" t="str">
        <x:v>Use case fit &amp; prioritization</x:v>
      </x:c>
      <x:c r="D3" s="14" t="str">
        <x:v>Directly related to architecture, engineering, data, evaluation, platform, operations or agent implementation.</x:v>
      </x:c>
      <x:c r="E3" s="14" t="str">
        <x:v>TO VALIDATE WITH AI LABS</x:v>
      </x:c>
      <x:c r="F3" s="14" t="str">
        <x:v>Analyze and structure questions/evidence; do not lock implementation until constraints/assets are confirmed.</x:v>
      </x:c>
      <x:c r="G3" s="14" t="str">
        <x:v>este é um dos itens prioritários com AI Labs: solicitar o modelo de Use Case Sprint, scoring criteria e quaisquer templates existentes.</x:v>
      </x:c>
    </x:row>
    <x:row r="4">
      <x:c r="A4" s="14" t="str">
        <x:v>A8</x:v>
      </x:c>
      <x:c r="B4" s="14" t="str">
        <x:v>Align</x:v>
      </x:c>
      <x:c r="C4" s="14" t="str">
        <x:v>Tech stack evaluation</x:v>
      </x:c>
      <x:c r="D4" s="14" t="str">
        <x:v>Directly related to architecture, engineering, data, evaluation, platform, operations or agent implementation.</x:v>
      </x:c>
      <x:c r="E4" s="14" t="str">
        <x:v>TO VALIDATE WITH AI LABS</x:v>
      </x:c>
      <x:c r="F4" s="14" t="str">
        <x:v>Prepare technology-neutral requirements/decision criteria; incorporate AWS/Azure/Google portability and Azure Foundry as a test context, pending confirmation.</x:v>
      </x:c>
      <x:c r="G4" s="14" t="str">
        <x:v>tecnologias obrigatórias/aprovadas; PromptRouter® positioning; cloud/platform standards; existing reference architectures.</x:v>
      </x:c>
    </x:row>
    <x:row r="5">
      <x:c r="A5" s="14" t="str">
        <x:v>A11</x:v>
      </x:c>
      <x:c r="B5" s="14" t="str">
        <x:v>Align</x:v>
      </x:c>
      <x:c r="C5" s="14" t="str">
        <x:v>Data cleansing</x:v>
      </x:c>
      <x:c r="D5" s="14" t="str">
        <x:v>Directly related to architecture, engineering, data, evaluation, platform, operations or agent implementation.</x:v>
      </x:c>
      <x:c r="E5" s="14" t="str">
        <x:v>TO VALIDATE WITH AI LABS</x:v>
      </x:c>
      <x:c r="F5" s="14" t="str">
        <x:v>Analyze and structure questions/evidence; do not lock implementation until constraints/assets are confirmed.</x:v>
      </x:c>
      <x:c r="G5" s="14" t="str">
        <x:v>padrões e ferramentas de data quality já existentes.</x:v>
      </x:c>
    </x:row>
    <x:row r="6">
      <x:c r="A6" s="14" t="str">
        <x:v>A12</x:v>
      </x:c>
      <x:c r="B6" s="14" t="str">
        <x:v>Align</x:v>
      </x:c>
      <x:c r="C6" s="14" t="str">
        <x:v>Target-state architecture design</x:v>
      </x:c>
      <x:c r="D6" s="14" t="str">
        <x:v>Directly related to architecture, engineering, data, evaluation, platform, operations or agent implementation.</x:v>
      </x:c>
      <x:c r="E6" s="14" t="str">
        <x:v>TO VALIDATE WITH AI LABS</x:v>
      </x:c>
      <x:c r="F6" s="14" t="str">
        <x:v>Prepare technology-neutral requirements/decision criteria; incorporate AWS/Azure/Google portability and Azure Foundry as a test context, pending confirmation.</x:v>
      </x:c>
      <x:c r="G6" s="14" t="str">
        <x:v>existência das reference architectures/design patterns citadas em Control.</x:v>
      </x:c>
    </x:row>
    <x:row r="7">
      <x:c r="A7" s="14" t="str">
        <x:v>B1</x:v>
      </x:c>
      <x:c r="B7" s="14" t="str">
        <x:v>Build</x:v>
      </x:c>
      <x:c r="C7" s="14" t="str">
        <x:v>Manual experiments with tools / Proof of Concept and Value</x:v>
      </x:c>
      <x:c r="D7" s="14" t="str">
        <x:v>Directly related to architecture, engineering, data, evaluation, platform, operations or agent implementation.</x:v>
      </x:c>
      <x:c r="E7" s="14" t="str">
        <x:v>TO VALIDATE WITH AI LABS</x:v>
      </x:c>
      <x:c r="F7" s="14" t="str">
        <x:v>Analyze and structure questions/evidence; do not lock implementation until constraints/assets are confirmed.</x:v>
      </x:c>
      <x:c r="G7" s="14" t="str">
        <x:v>definições oficiais de PoC/PoV/Pilot e experiment methodology.</x:v>
      </x:c>
    </x:row>
    <x:row r="8">
      <x:c r="A8" s="14" t="str">
        <x:v>B2</x:v>
      </x:c>
      <x:c r="B8" s="14" t="str">
        <x:v>Build</x:v>
      </x:c>
      <x:c r="C8" s="14" t="str">
        <x:v>AI-assisted engineering</x:v>
      </x:c>
      <x:c r="D8" s="14" t="str">
        <x:v>Directly related to architecture, engineering, data, evaluation, platform, operations or agent implementation.</x:v>
      </x:c>
      <x:c r="E8" s="14" t="str">
        <x:v>TO VALIDATE WITH AI LABS</x:v>
      </x:c>
      <x:c r="F8" s="14" t="str">
        <x:v>Analyze and structure questions/evidence; do not lock implementation until constraints/assets are confirmed.</x:v>
      </x:c>
      <x:c r="G8" s="14" t="str">
        <x:v>AI-assisted engineering standards do AI Labs.</x:v>
      </x:c>
    </x:row>
    <x:row r="9">
      <x:c r="A9" s="14" t="str">
        <x:v>B3</x:v>
      </x:c>
      <x:c r="B9" s="14" t="str">
        <x:v>Build</x:v>
      </x:c>
      <x:c r="C9" s="14" t="str">
        <x:v>Core foundation &amp; modular architecture</x:v>
      </x:c>
      <x:c r="D9" s="14" t="str">
        <x:v>Directly related to architecture, engineering, data, evaluation, platform, operations or agent implementation.</x:v>
      </x:c>
      <x:c r="E9" s="14" t="str">
        <x:v>TO VALIDATE WITH AI LABS</x:v>
      </x:c>
      <x:c r="F9" s="14" t="str">
        <x:v>Prepare technology-neutral requirements/decision criteria; incorporate AWS/Azure/Google portability and Azure Foundry as a test context, pending confirmation.</x:v>
      </x:c>
      <x:c r="G9" s="14" t="str">
        <x:v>solicitar “enterprise-ready core”, reference architecture e integration patterns mencionados pelo framework.</x:v>
      </x:c>
    </x:row>
    <x:row r="10">
      <x:c r="A10" s="14" t="str">
        <x:v>B4</x:v>
      </x:c>
      <x:c r="B10" s="14" t="str">
        <x:v>Build</x:v>
      </x:c>
      <x:c r="C10" s="14" t="str">
        <x:v>Build-code orchestration</x:v>
      </x:c>
      <x:c r="D10" s="14" t="str">
        <x:v>Directly related to architecture, engineering, data, evaluation, platform, operations or agent implementation.</x:v>
      </x:c>
      <x:c r="E10" s="14" t="str">
        <x:v>TO VALIDATE WITH AI LABS</x:v>
      </x:c>
      <x:c r="F10" s="14" t="str">
        <x:v>Analyze and structure questions/evidence; do not lock implementation until constraints/assets are confirmed.</x:v>
      </x:c>
      <x:c r="G10" s="14" t="str">
        <x:v>definição exata e exemplos.</x:v>
      </x:c>
    </x:row>
    <x:row r="11">
      <x:c r="A11" s="14" t="str">
        <x:v>B5</x:v>
      </x:c>
      <x:c r="B11" s="14" t="str">
        <x:v>Build</x:v>
      </x:c>
      <x:c r="C11" s="14" t="str">
        <x:v>Model evaluation</x:v>
      </x:c>
      <x:c r="D11" s="14" t="str">
        <x:v>Directly related to architecture, engineering, data, evaluation, platform, operations or agent implementation.</x:v>
      </x:c>
      <x:c r="E11" s="14" t="str">
        <x:v>TO VALIDATE WITH AI LABS</x:v>
      </x:c>
      <x:c r="F11" s="14" t="str">
        <x:v>Analyze and structure questions/evidence; do not lock implementation until constraints/assets are confirmed.</x:v>
      </x:c>
      <x:c r="G11" s="14" t="str">
        <x:v>evaluation framework, benchmark suite, tooling e acceptance criteria do AI Labs.</x:v>
      </x:c>
    </x:row>
    <x:row r="12">
      <x:c r="A12" s="14" t="str">
        <x:v>B6</x:v>
      </x:c>
      <x:c r="B12" s="14" t="str">
        <x:v>Build</x:v>
      </x:c>
      <x:c r="C12" s="14" t="str">
        <x:v>Testing / Quality Engineering</x:v>
      </x:c>
      <x:c r="D12" s="14" t="str">
        <x:v>Directly related to architecture, engineering, data, evaluation, platform, operations or agent implementation.</x:v>
      </x:c>
      <x:c r="E12" s="14" t="str">
        <x:v>TO VALIDATE WITH AI LABS</x:v>
      </x:c>
      <x:c r="F12" s="14" t="str">
        <x:v>Analyze and structure questions/evidence; do not lock implementation until constraints/assets are confirmed.</x:v>
      </x:c>
      <x:c r="G12" s="14" t="str">
        <x:v>testing accelerators existentes e quality gates.</x:v>
      </x:c>
    </x:row>
    <x:row r="13">
      <x:c r="A13" s="14" t="str">
        <x:v>B7</x:v>
      </x:c>
      <x:c r="B13" s="14" t="str">
        <x:v>Build</x:v>
      </x:c>
      <x:c r="C13" s="14" t="str">
        <x:v>MLOps/LLMOps pipeline setup</x:v>
      </x:c>
      <x:c r="D13" s="14" t="str">
        <x:v>Directly related to architecture, engineering, data, evaluation, platform, operations or agent implementation.</x:v>
      </x:c>
      <x:c r="E13" s="14" t="str">
        <x:v>TO VALIDATE WITH AI LABS</x:v>
      </x:c>
      <x:c r="F13" s="14" t="str">
        <x:v>Prepare technology-neutral requirements/decision criteria; incorporate AWS/Azure/Google portability and Azure Foundry as a test context, pending confirmation.</x:v>
      </x:c>
      <x:c r="G13" s="14" t="str">
        <x:v>platform e pipeline standards já disponíveis.</x:v>
      </x:c>
    </x:row>
    <x:row r="14">
      <x:c r="A14" s="14" t="str">
        <x:v>B8</x:v>
      </x:c>
      <x:c r="B14" s="14" t="str">
        <x:v>Build</x:v>
      </x:c>
      <x:c r="C14" s="14" t="str">
        <x:v>Reusable frameworks / components / LLM wrappers / pre-built pipelines</x:v>
      </x:c>
      <x:c r="D14" s="14" t="str">
        <x:v>Directly related to architecture, engineering, data, evaluation, platform, operations or agent implementation.</x:v>
      </x:c>
      <x:c r="E14" s="14" t="str">
        <x:v>TO VALIDATE WITH AI LABS</x:v>
      </x:c>
      <x:c r="F14" s="14" t="str">
        <x:v>Analyze and structure questions/evidence; do not lock implementation until constraints/assets are confirmed.</x:v>
      </x:c>
      <x:c r="G14" s="14" t="str">
        <x:v>obter catálogo, documentation e maturity/status dos assets.</x:v>
      </x:c>
    </x:row>
    <x:row r="15">
      <x:c r="A15" s="14" t="str">
        <x:v>B9</x:v>
      </x:c>
      <x:c r="B15" s="14" t="str">
        <x:v>Build</x:v>
      </x:c>
      <x:c r="C15" s="14" t="str">
        <x:v>Agentic AI accelerators / Domain Agent Accelerators</x:v>
      </x:c>
      <x:c r="D15" s="14" t="str">
        <x:v>Directly related to architecture, engineering, data, evaluation, platform, operations or agent implementation.</x:v>
      </x:c>
      <x:c r="E15" s="14" t="str">
        <x:v>TO VALIDATE WITH AI LABS</x:v>
      </x:c>
      <x:c r="F15" s="14" t="str">
        <x:v>Analyze and structure questions/evidence; do not lock implementation until constraints/assets are confirmed.</x:v>
      </x:c>
      <x:c r="G15" s="14" t="str">
        <x:v>quais estão realmente disponíveis, supported, reusable e indicados para o programa Brasil.</x:v>
      </x:c>
    </x:row>
    <x:row r="16">
      <x:c r="A16" s="14" t="str">
        <x:v>B11</x:v>
      </x:c>
      <x:c r="B16" s="14" t="str">
        <x:v>Build</x:v>
      </x:c>
      <x:c r="C16" s="14" t="str">
        <x:v>SDLC accelerators</x:v>
      </x:c>
      <x:c r="D16" s="14" t="str">
        <x:v>Directly related to architecture, engineering, data, evaluation, platform, operations or agent implementation.</x:v>
      </x:c>
      <x:c r="E16" s="14" t="str">
        <x:v>TO VALIDATE WITH AI LABS</x:v>
      </x:c>
      <x:c r="F16" s="14" t="str">
        <x:v>Analyze and structure questions/evidence; do not lock implementation until constraints/assets are confirmed.</x:v>
      </x:c>
      <x:c r="G16" s="14" t="str">
        <x:v>catálogo oficial completo de accelerators do AI Labs.</x:v>
      </x:c>
    </x:row>
    <x:row r="17">
      <x:c r="A17" s="14" t="str">
        <x:v>C3</x:v>
      </x:c>
      <x:c r="B17" s="14" t="str">
        <x:v>Control</x:v>
      </x:c>
      <x:c r="C17" s="14" t="str">
        <x:v>Human-in-the-loop design</x:v>
      </x:c>
      <x:c r="D17" s="14" t="str">
        <x:v>Directly related to architecture, engineering, data, evaluation, platform, operations or agent implementation.</x:v>
      </x:c>
      <x:c r="E17" s="14" t="str">
        <x:v>TO VALIDATE WITH AI LABS</x:v>
      </x:c>
      <x:c r="F17" s="14" t="str">
        <x:v>Analyze and structure questions/evidence; do not lock implementation until constraints/assets are confirmed.</x:v>
      </x:c>
      <x:c r="G17" s="14" t="str">
        <x:v>HITL policy e thresholds já existentes.</x:v>
      </x:c>
    </x:row>
    <x:row r="18">
      <x:c r="A18" s="14" t="str">
        <x:v>C4</x:v>
      </x:c>
      <x:c r="B18" s="14" t="str">
        <x:v>Control</x:v>
      </x:c>
      <x:c r="C18" s="14" t="str">
        <x:v>Model risk tiering &amp; regulatory mapping</x:v>
      </x:c>
      <x:c r="D18" s="14" t="str">
        <x:v>Directly related to architecture, engineering, data, evaluation, platform, operations or agent implementation.</x:v>
      </x:c>
      <x:c r="E18" s="14" t="str">
        <x:v>TO VALIDATE WITH AI LABS</x:v>
      </x:c>
      <x:c r="F18" s="14" t="str">
        <x:v>Analyze and structure questions/evidence; do not lock implementation until constraints/assets are confirmed.</x:v>
      </x:c>
      <x:c r="G18" s="14" t="str">
        <x:v>obter model risk classification/tiering model.</x:v>
      </x:c>
    </x:row>
    <x:row r="19">
      <x:c r="A19" s="14" t="str">
        <x:v>C5</x:v>
      </x:c>
      <x:c r="B19" s="14" t="str">
        <x:v>Control</x:v>
      </x:c>
      <x:c r="C19" s="14" t="str">
        <x:v>Architecture &amp; Standards</x:v>
      </x:c>
      <x:c r="D19" s="14" t="str">
        <x:v>Directly related to architecture, engineering, data, evaluation, platform, operations or agent implementation.</x:v>
      </x:c>
      <x:c r="E19" s="14" t="str">
        <x:v>TO VALIDATE WITH AI LABS</x:v>
      </x:c>
      <x:c r="F19" s="14" t="str">
        <x:v>Prepare technology-neutral requirements/decision criteria; incorporate AWS/Azure/Google portability and Azure Foundry as a test context, pending confirmation.</x:v>
      </x:c>
      <x:c r="G19" s="14" t="str">
        <x:v>solicitar os assets referenciados explicitamente pela apresentação.</x:v>
      </x:c>
    </x:row>
    <x:row r="20">
      <x:c r="A20" s="14" t="str">
        <x:v>C7</x:v>
      </x:c>
      <x:c r="B20" s="14" t="str">
        <x:v>Control</x:v>
      </x:c>
      <x:c r="C20" s="14" t="str">
        <x:v>Model Development governance</x:v>
      </x:c>
      <x:c r="D20" s="14" t="str">
        <x:v>Directly related to architecture, engineering, data, evaluation, platform, operations or agent implementation.</x:v>
      </x:c>
      <x:c r="E20" s="14" t="str">
        <x:v>TO VALIDATE WITH AI LABS</x:v>
      </x:c>
      <x:c r="F20" s="14" t="str">
        <x:v>Analyze and structure questions/evidence; do not lock implementation until constraints/assets are confirmed.</x:v>
      </x:c>
      <x:c r="G20" s="14" t="str">
        <x:v>standards citados no framework.</x:v>
      </x:c>
    </x:row>
    <x:row r="21">
      <x:c r="A21" s="14" t="str">
        <x:v>C8</x:v>
      </x:c>
      <x:c r="B21" s="14" t="str">
        <x:v>Control</x:v>
      </x:c>
      <x:c r="C21" s="14" t="str">
        <x:v>Model monitoring &amp; AI FinOps</x:v>
      </x:c>
      <x:c r="D21" s="14" t="str">
        <x:v>Directly related to architecture, engineering, data, evaluation, platform, operations or agent implementation.</x:v>
      </x:c>
      <x:c r="E21" s="14" t="str">
        <x:v>TO VALIDATE WITH AI LABS</x:v>
      </x:c>
      <x:c r="F21" s="14" t="str">
        <x:v>Analyze and structure questions/evidence; do not lock implementation until constraints/assets are confirmed.</x:v>
      </x:c>
      <x:c r="G21" s="14" t="str">
        <x:v>standard observability stack, metrics e FinOps methodology.</x:v>
      </x:c>
    </x:row>
    <x:row r="22">
      <x:c r="A22" s="14" t="str">
        <x:v>C9</x:v>
      </x:c>
      <x:c r="B22" s="14" t="str">
        <x:v>Control</x:v>
      </x:c>
      <x:c r="C22" s="14" t="str">
        <x:v>Retraining pipelines &amp; prompt management</x:v>
      </x:c>
      <x:c r="D22" s="14" t="str">
        <x:v>Directly related to architecture, engineering, data, evaluation, platform, operations or agent implementation.</x:v>
      </x:c>
      <x:c r="E22" s="14" t="str">
        <x:v>TO VALIDATE WITH AI LABS</x:v>
      </x:c>
      <x:c r="F22" s="14" t="str">
        <x:v>Analyze and structure questions/evidence; do not lock implementation until constraints/assets are confirmed.</x:v>
      </x:c>
      <x:c r="G22" s="14" t="str">
        <x:v>PromptRouter® ou outras ferramentas fornecem parte dessa função? Quais practices são padrão?</x:v>
      </x:c>
    </x:row>
    <x:row r="23">
      <x:c r="A23" s="14" t="str">
        <x:v>C10</x:v>
      </x:c>
      <x:c r="B23" s="14" t="str">
        <x:v>Control</x:v>
      </x:c>
      <x:c r="C23" s="14" t="str">
        <x:v>Incident response &amp; rollback</x:v>
      </x:c>
      <x:c r="D23" s="14" t="str">
        <x:v>Directly related to architecture, engineering, data, evaluation, platform, operations or agent implementation.</x:v>
      </x:c>
      <x:c r="E23" s="14" t="str">
        <x:v>TO VALIDATE WITH AI LABS</x:v>
      </x:c>
      <x:c r="F23" s="14" t="str">
        <x:v>Analyze and structure questions/evidence; do not lock implementation until constraints/assets are confirmed.</x:v>
      </x:c>
      <x:c r="G23" s="14" t="str">
        <x:v>incident/rollback accelerators e AI-specific playbook existentes.</x:v>
      </x:c>
    </x:row>
    <x:row r="24">
      <x:c r="A24" s="14" t="str">
        <x:v>C11</x:v>
      </x:c>
      <x:c r="B24" s="14" t="str">
        <x:v>Control</x:v>
      </x:c>
      <x:c r="C24" s="14" t="str">
        <x:v>Ongoing evaluation, confidence scoring &amp; benchmarking</x:v>
      </x:c>
      <x:c r="D24" s="14" t="str">
        <x:v>Directly related to architecture, engineering, data, evaluation, platform, operations or agent implementation.</x:v>
      </x:c>
      <x:c r="E24" s="14" t="str">
        <x:v>TO VALIDATE WITH AI LABS</x:v>
      </x:c>
      <x:c r="F24" s="14" t="str">
        <x:v>Analyze and structure questions/evidence; do not lock implementation until constraints/assets are confirmed.</x:v>
      </x:c>
      <x:c r="G24" s="14" t="str">
        <x:v>definição de “confidence scoring” no AgilityAI e evaluation/benchmark methodology.</x:v>
      </x:c>
    </x:row>
    <x:row r="25">
      <x:c r="A25" s="14" t="str">
        <x:v>C13</x:v>
      </x:c>
      <x:c r="B25" s="14" t="str">
        <x:v>Control</x:v>
      </x:c>
      <x:c r="C25" s="14" t="str">
        <x:v>Observability &amp; explainability</x:v>
      </x:c>
      <x:c r="D25" s="14" t="str">
        <x:v>Directly related to architecture, engineering, data, evaluation, platform, operations or agent implementation.</x:v>
      </x:c>
      <x:c r="E25" s="14" t="str">
        <x:v>TO VALIDATE WITH AI LABS</x:v>
      </x:c>
      <x:c r="F25" s="14" t="str">
        <x:v>Analyze and structure questions/evidence; do not lock implementation until constraints/assets are confirmed.</x:v>
      </x:c>
      <x:c r="G25" s="14" t="str">
        <x:v>observability platform/patterns e minimum telemetry requirements.</x:v>
      </x:c>
    </x:row>
  </x:sheetData>
  <x:pageMargins left="0.7" right="0.7" top="0.75" bottom="0.75" header="0.3" footer="0.3"/>
  <x:tableParts count="1">
    <x:tablePart xmlns:r="http://schemas.openxmlformats.org/officeDocument/2006/relationships" r:id="R6d0adc07af2a4d1e"/>
  </x:tableParts>
</x:worksheet>
</file>

<file path=xl/worksheets/sheet7.xml><?xml version="1.0" encoding="utf-8"?>
<x:worksheet xmlns:x="http://schemas.openxmlformats.org/spreadsheetml/2006/main">
  <x:sheetFormatPr defaultRowHeight="15"/>
  <x:cols>
    <x:col min="1" max="1" width="8" hidden="0" customWidth="1"/>
    <x:col min="2" max="2" width="55" hidden="0" customWidth="1"/>
    <x:col min="3" max="3" width="24" hidden="0" customWidth="1"/>
    <x:col min="4" max="4" width="70" hidden="0" customWidth="1"/>
    <x:col min="5" max="5" width="55" hidden="0" customWidth="1"/>
  </x:cols>
  <x:sheetData>
    <x:row r="1">
      <x:c r="A1" s="16" t="str">
        <x:v>ID</x:v>
      </x:c>
      <x:c r="B1" s="16" t="str">
        <x:v>Source</x:v>
      </x:c>
      <x:c r="C1" s="16" t="str">
        <x:v>Type</x:v>
      </x:c>
      <x:c r="D1" s="16" t="str">
        <x:v>Use</x:v>
      </x:c>
      <x:c r="E1" s="16" t="str">
        <x:v>Authority / Caveat</x:v>
      </x:c>
    </x:row>
    <x:row r="2">
      <x:c r="A2" s="14" t="str">
        <x:v>S1</x:v>
      </x:c>
      <x:c r="B2" s="14" t="str">
        <x:v>Project Charter AgilityAI Brazil Reference Implementation Program 2.pdf</x:v>
      </x:c>
      <x:c r="C2" s="14" t="str">
        <x:v>Formal program source</x:v>
      </x:c>
      <x:c r="D2" s="14" t="str">
        <x:v>Defines objectives, phases, organization, deliverables, success criteria and risks.</x:v>
      </x:c>
      <x:c r="E2" s="14" t="str">
        <x:v>Highest authority for Brazil program scope in current base.</x:v>
      </x:c>
    </x:row>
    <x:row r="3">
      <x:c r="A3" s="14" t="str">
        <x:v>S2</x:v>
      </x:c>
      <x:c r="B3" s="14" t="str">
        <x:v>AgilityAI - ABCs 2.pdf</x:v>
      </x:c>
      <x:c r="C3" s="14" t="str">
        <x:v>Official framework presentation</x:v>
      </x:c>
      <x:c r="D3" s="14" t="str">
        <x:v>Defines Align, Build, Control and conceptual activities/components.</x:v>
      </x:c>
      <x:c r="E3" s="14" t="str">
        <x:v>Primary framework source; not assumed to contain full how-to methodology.</x:v>
      </x:c>
    </x:row>
    <x:row r="4">
      <x:c r="A4" s="14" t="str">
        <x:v>S3</x:v>
      </x:c>
      <x:c r="B4" s="14" t="str">
        <x:v>Markdown.md colado</x:v>
      </x:c>
      <x:c r="C4" s="14" t="str">
        <x:v>Derived assessment</x:v>
      </x:c>
      <x:c r="D4" s="14" t="str">
        <x:v>Initial Phase 1 Gap Assessment generated from current knowledge.</x:v>
      </x:c>
      <x:c r="E4" s="14" t="str">
        <x:v>Analytical artifact, not official AgilityAI methodology.</x:v>
      </x:c>
    </x:row>
    <x:row r="5">
      <x:c r="A5" s="14" t="str">
        <x:v>S4</x:v>
      </x:c>
      <x:c r="B5" s="14" t="str">
        <x:v>MEETING-NOTE_Phase-1-Direction_Celia-Homa_2026-08-13.md</x:v>
      </x:c>
      <x:c r="C5" s="14" t="str">
        <x:v>Recorded guidance</x:v>
      </x:c>
      <x:c r="D5" s="14" t="str">
        <x:v>Captures Célia's Phase 1 direction and parallel conceptual/technical work.</x:v>
      </x:c>
      <x:c r="E5" s="14" t="str">
        <x:v>Contextual guidance; not Charter amendment.</x:v>
      </x:c>
    </x:row>
    <x:row r="6">
      <x:c r="A6" s="14" t="str">
        <x:v>S5</x:v>
      </x:c>
      <x:c r="B6" s="14" t="str">
        <x:v>Teams screenshots / 2026-08-13</x:v>
      </x:c>
      <x:c r="C6" s="14" t="str">
        <x:v>Current team evidence</x:v>
      </x:c>
      <x:c r="D6" s="14" t="str">
        <x:v>Matheus reports Brian/Padmesh access and multi-cloud/Azure Foundry direction; message sent to Brian.</x:v>
      </x:c>
      <x:c r="E6" s="14" t="str">
        <x:v>Operational evidence; second-hand claims should be confirmed where material.</x:v>
      </x:c>
    </x:row>
  </x:sheetData>
  <x:pageMargins left="0.7" right="0.7" top="0.75" bottom="0.75" header="0.3" footer="0.3"/>
  <x:tableParts count="1">
    <x:tablePart xmlns:r="http://schemas.openxmlformats.org/officeDocument/2006/relationships" r:id="R7eb80b0e3f154091"/>
  </x:tableParts>
</x:worksheet>
</file>

<file path=xl/worksheets/sheet8.xml><?xml version="1.0" encoding="utf-8"?>
<x:worksheet xmlns:x="http://schemas.openxmlformats.org/spreadsheetml/2006/main">
  <x:sheetFormatPr defaultRowHeight="15"/>
  <x:cols>
    <x:col min="1" max="1" width="34" hidden="0" customWidth="1"/>
    <x:col min="2" max="2" width="18" hidden="0" customWidth="1"/>
    <x:col min="4" max="4" width="16" hidden="0" customWidth="1"/>
    <x:col min="5" max="5" width="12" hidden="0" customWidth="1"/>
  </x:cols>
  <x:sheetData>
    <x:row r="1">
      <x:c r="A1" s="3" t="str">
        <x:v>Phase 1 — Operational Dashboard</x:v>
      </x:c>
      <x:c r="B1" s="3"/>
      <x:c r="C1" s="3"/>
      <x:c r="D1" s="3"/>
      <x:c r="E1" s="3"/>
      <x:c r="F1" s="3"/>
      <x:c r="G1" s="3"/>
      <x:c r="H1" s="3"/>
    </x:row>
    <x:row r="3">
      <x:c r="A3" s="23" t="str">
        <x:v>Metric</x:v>
      </x:c>
      <x:c r="B3" s="23" t="str">
        <x:v>Value</x:v>
      </x:c>
      <x:c r="D3" s="23" t="str">
        <x:v>ABC</x:v>
      </x:c>
      <x:c r="E3" s="23" t="str">
        <x:v>Count</x:v>
      </x:c>
    </x:row>
    <x:row r="4">
      <x:c r="A4" s="27" t="str">
        <x:v>Total activities</x:v>
      </x:c>
      <x:c r="B4" t="n">
        <x:f>COUNTA('Gap Register'!A2:A45)</x:f>
        <x:v>44</x:v>
      </x:c>
      <x:c r="D4" t="str">
        <x:v>Align</x:v>
      </x:c>
      <x:c r="E4" t="n">
        <x:f>COUNTIF('Gap Register'!B2:B45,"Align")</x:f>
        <x:v>16</x:v>
      </x:c>
    </x:row>
    <x:row r="5">
      <x:c r="A5" s="27" t="str">
        <x:v>Align activities</x:v>
      </x:c>
      <x:c r="B5" t="n">
        <x:f>COUNTIF('Gap Register'!B2:B45,"Align")</x:f>
        <x:v>16</x:v>
      </x:c>
      <x:c r="D5" t="str">
        <x:v>Build</x:v>
      </x:c>
      <x:c r="E5" t="n">
        <x:f>COUNTIF('Gap Register'!B2:B45,"Build")</x:f>
        <x:v>11</x:v>
      </x:c>
    </x:row>
    <x:row r="6">
      <x:c r="A6" s="27" t="str">
        <x:v>Build activities</x:v>
      </x:c>
      <x:c r="B6" t="n">
        <x:f>COUNTIF('Gap Register'!B2:B45,"Build")</x:f>
        <x:v>11</x:v>
      </x:c>
      <x:c r="D6" t="str">
        <x:v>Control</x:v>
      </x:c>
      <x:c r="E6" t="n">
        <x:f>COUNTIF('Gap Register'!B2:B45,"Control")</x:f>
        <x:v>17</x:v>
      </x:c>
    </x:row>
    <x:row r="7">
      <x:c r="A7" s="27" t="str">
        <x:v>Control activities</x:v>
      </x:c>
      <x:c r="B7" t="n">
        <x:f>COUNTIF('Gap Register'!B2:B45,"Control")</x:f>
        <x:v>17</x:v>
      </x:c>
    </x:row>
    <x:row r="8">
      <x:c r="A8" s="27" t="str">
        <x:v>Critical priority</x:v>
      </x:c>
      <x:c r="B8" t="n">
        <x:f>COUNTIF('Gap Register'!I2:I45,"Critical")</x:f>
        <x:v>5</x:v>
      </x:c>
    </x:row>
    <x:row r="9">
      <x:c r="A9" s="27" t="str">
        <x:v>High priority</x:v>
      </x:c>
      <x:c r="B9" t="n">
        <x:f>COUNTIF('Gap Register'!I2:I45,"High")</x:f>
        <x:v>13</x:v>
      </x:c>
    </x:row>
    <x:row r="10">
      <x:c r="A10" s="27" t="str">
        <x:v>To validate with AI Labs</x:v>
      </x:c>
      <x:c r="B10" t="n">
        <x:f>COUNTIF('Gap Register'!K2:K45,"TO VALIDATE WITH AI LABS")</x:f>
        <x:v>44</x:v>
      </x:c>
    </x:row>
    <x:row r="11">
      <x:c r="A11" s="27" t="str">
        <x:v>Validated</x:v>
      </x:c>
      <x:c r="B11" t="n">
        <x:f>COUNTIF('Gap Register'!K2:K45,"VALIDATED")</x:f>
        <x:v>0</x:v>
      </x:c>
    </x:row>
    <x:row r="12">
      <x:c r="A12" s="27" t="str">
        <x:v>Brazil to propose</x:v>
      </x:c>
      <x:c r="B12" t="n">
        <x:f>COUNTIF('Gap Register'!K2:K45,"BRAZIL TO PROPOSE")</x:f>
        <x:v>0</x:v>
      </x:c>
    </x:row>
    <x:row r="13">
      <x:c r="A13" s="27" t="str">
        <x:v>Brazil to build</x:v>
      </x:c>
      <x:c r="B13" t="n">
        <x:f>COUNTIF('Gap Register'!K2:K45,"BRAZIL TO BUILD")</x:f>
        <x:v>0</x:v>
      </x:c>
    </x:row>
    <x:row r="14">
      <x:c r="A14" s="27" t="str">
        <x:v>Open AI Labs questions</x:v>
      </x:c>
      <x:c r="B14" t="n">
        <x:f>COUNTIF('AI Labs Questions'!E2:E19,"TO ASK / CLARIFY")+COUNTIF('AI Labs Questions'!E2:E19,"SENT / PARTIALLY ASKED")+COUNTIF('AI Labs Questions'!E2:E19,"NEEDS FOLLOW-UP")</x:f>
        <x:v>15</x:v>
      </x:c>
    </x:row>
  </x:sheetData>
  <x:mergeCells>
    <x:mergeCell ref="A1:H1"/>
  </x:mergeCells>
  <x:pageMargins left="0.7" right="0.7" top="0.75" bottom="0.75" header="0.3" footer="0.3"/>
  <x:drawing xmlns:r="http://schemas.openxmlformats.org/officeDocument/2006/relationships" r:id="Rc3d7e7087b4d4472"/>
</x:worksheet>
</file>